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ostert\Desktop\Costing\"/>
    </mc:Choice>
  </mc:AlternateContent>
  <xr:revisionPtr revIDLastSave="0" documentId="13_ncr:1_{900B3BDC-4260-4C5C-82D1-DB0F01FE5B55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alc" sheetId="3" r:id="rId1"/>
    <sheet name="Asset Allocation" sheetId="6" r:id="rId2"/>
    <sheet name="Wages" sheetId="2" r:id="rId3"/>
    <sheet name="Overhead" sheetId="5" r:id="rId4"/>
    <sheet name="Other Overhead" sheetId="7" r:id="rId5"/>
    <sheet name="Sheet1" sheetId="9" r:id="rId6"/>
    <sheet name="Data with Optional" sheetId="1" r:id="rId7"/>
    <sheet name="Syspro" sheetId="8" r:id="rId8"/>
  </sheets>
  <externalReferences>
    <externalReference r:id="rId9"/>
  </externalReferences>
  <definedNames>
    <definedName name="Query_from_ROSyspro" localSheetId="7" hidden="1">Syspro!$A$1:$E$91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9" i="2" l="1"/>
  <c r="Q103" i="2"/>
  <c r="Q36" i="2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D28" i="7"/>
  <c r="C168" i="5" l="1"/>
  <c r="C164" i="5"/>
  <c r="C163" i="5"/>
  <c r="C158" i="5"/>
  <c r="C153" i="5"/>
  <c r="C149" i="5"/>
  <c r="C141" i="5"/>
  <c r="C137" i="5"/>
  <c r="C136" i="5"/>
  <c r="C135" i="5"/>
  <c r="C133" i="5"/>
  <c r="C132" i="5"/>
  <c r="C127" i="5"/>
  <c r="D127" i="5" s="1"/>
  <c r="K127" i="5" s="1"/>
  <c r="C122" i="5"/>
  <c r="C102" i="5"/>
  <c r="C98" i="5"/>
  <c r="C94" i="5"/>
  <c r="D94" i="5" s="1"/>
  <c r="C90" i="5"/>
  <c r="C89" i="5"/>
  <c r="C79" i="5"/>
  <c r="C66" i="5"/>
  <c r="C65" i="5"/>
  <c r="C64" i="5"/>
  <c r="C58" i="5"/>
  <c r="C53" i="5"/>
  <c r="C45" i="5"/>
  <c r="C44" i="5"/>
  <c r="C43" i="5"/>
  <c r="C39" i="5"/>
  <c r="C38" i="5"/>
  <c r="C31" i="5"/>
  <c r="C27" i="5"/>
  <c r="C26" i="5"/>
  <c r="I4" i="7" l="1"/>
  <c r="I3" i="7"/>
  <c r="I9" i="7"/>
  <c r="I10" i="7"/>
  <c r="I8" i="7"/>
  <c r="M9" i="7"/>
  <c r="G9" i="7"/>
  <c r="F9" i="7"/>
  <c r="J9" i="7" s="1"/>
  <c r="K9" i="7" l="1"/>
  <c r="O9" i="7" s="1"/>
  <c r="AB9" i="7" s="1"/>
  <c r="N9" i="7"/>
  <c r="AC164" i="2" l="1"/>
  <c r="P164" i="2"/>
  <c r="Y164" i="2" s="1"/>
  <c r="AC172" i="2"/>
  <c r="P172" i="2"/>
  <c r="Y172" i="2" s="1"/>
  <c r="P158" i="2"/>
  <c r="Z158" i="2" s="1"/>
  <c r="P157" i="2"/>
  <c r="Z157" i="2" s="1"/>
  <c r="P156" i="2"/>
  <c r="Z156" i="2" s="1"/>
  <c r="AC155" i="2"/>
  <c r="AC158" i="2" s="1"/>
  <c r="P155" i="2"/>
  <c r="Z155" i="2" s="1"/>
  <c r="AC54" i="2"/>
  <c r="P54" i="2"/>
  <c r="Y54" i="2" s="1"/>
  <c r="D19" i="7"/>
  <c r="D18" i="7"/>
  <c r="E82" i="9"/>
  <c r="E83" i="9"/>
  <c r="E84" i="9"/>
  <c r="E85" i="9"/>
  <c r="E86" i="9"/>
  <c r="E87" i="9"/>
  <c r="E88" i="9"/>
  <c r="E81" i="9"/>
  <c r="D14" i="7"/>
  <c r="D15" i="7"/>
  <c r="D16" i="7"/>
  <c r="D17" i="7"/>
  <c r="D20" i="7"/>
  <c r="D13" i="7"/>
  <c r="AC170" i="2"/>
  <c r="P170" i="2"/>
  <c r="Z170" i="2" s="1"/>
  <c r="AC171" i="2"/>
  <c r="P171" i="2"/>
  <c r="Y171" i="2" s="1"/>
  <c r="E65" i="9"/>
  <c r="E66" i="9"/>
  <c r="E67" i="9"/>
  <c r="E68" i="9"/>
  <c r="E69" i="9"/>
  <c r="E70" i="9"/>
  <c r="E71" i="9"/>
  <c r="E72" i="9"/>
  <c r="E73" i="9"/>
  <c r="E74" i="9"/>
  <c r="E64" i="9"/>
  <c r="P117" i="2"/>
  <c r="Z117" i="2" s="1"/>
  <c r="P116" i="2"/>
  <c r="Y116" i="2" s="1"/>
  <c r="AC115" i="2"/>
  <c r="AC116" i="2" s="1"/>
  <c r="AC117" i="2" s="1"/>
  <c r="P115" i="2"/>
  <c r="Z115" i="2" s="1"/>
  <c r="E49" i="9"/>
  <c r="E50" i="9"/>
  <c r="E51" i="9"/>
  <c r="E52" i="9"/>
  <c r="E54" i="9"/>
  <c r="E55" i="9"/>
  <c r="E56" i="9"/>
  <c r="E47" i="9"/>
  <c r="AC72" i="2"/>
  <c r="P72" i="2"/>
  <c r="Z72" i="2" s="1"/>
  <c r="E26" i="9"/>
  <c r="E27" i="9"/>
  <c r="E28" i="9"/>
  <c r="E29" i="9"/>
  <c r="E30" i="9"/>
  <c r="E31" i="9"/>
  <c r="E32" i="9"/>
  <c r="E33" i="9"/>
  <c r="E34" i="9"/>
  <c r="E25" i="9"/>
  <c r="E23" i="9"/>
  <c r="E22" i="9"/>
  <c r="E21" i="9"/>
  <c r="E20" i="9"/>
  <c r="E19" i="9"/>
  <c r="E8" i="9"/>
  <c r="E7" i="9"/>
  <c r="E6" i="9"/>
  <c r="E5" i="9"/>
  <c r="E4" i="9"/>
  <c r="E3" i="9"/>
  <c r="E2" i="9"/>
  <c r="E1" i="9"/>
  <c r="N133" i="6"/>
  <c r="O133" i="6" s="1"/>
  <c r="P133" i="6" s="1"/>
  <c r="I133" i="6"/>
  <c r="N132" i="6"/>
  <c r="O132" i="6" s="1"/>
  <c r="I132" i="6"/>
  <c r="N131" i="6"/>
  <c r="O131" i="6" s="1"/>
  <c r="I131" i="6"/>
  <c r="N130" i="6"/>
  <c r="O130" i="6" s="1"/>
  <c r="I130" i="6"/>
  <c r="N225" i="6"/>
  <c r="O225" i="6" s="1"/>
  <c r="I225" i="6"/>
  <c r="N224" i="6"/>
  <c r="O224" i="6" s="1"/>
  <c r="I224" i="6"/>
  <c r="N223" i="6"/>
  <c r="O223" i="6" s="1"/>
  <c r="I223" i="6"/>
  <c r="N65" i="6"/>
  <c r="O65" i="6" s="1"/>
  <c r="I65" i="6"/>
  <c r="N64" i="6"/>
  <c r="O64" i="6" s="1"/>
  <c r="I64" i="6"/>
  <c r="D135" i="5"/>
  <c r="D65" i="5"/>
  <c r="P130" i="6" l="1"/>
  <c r="Q164" i="2"/>
  <c r="S164" i="2" s="1"/>
  <c r="W164" i="2" s="1"/>
  <c r="Z164" i="2"/>
  <c r="V164" i="2"/>
  <c r="T164" i="2"/>
  <c r="U164" i="2" s="1"/>
  <c r="X164" i="2"/>
  <c r="Q172" i="2"/>
  <c r="S172" i="2" s="1"/>
  <c r="W172" i="2" s="1"/>
  <c r="Z172" i="2"/>
  <c r="AC156" i="2"/>
  <c r="AC157" i="2" s="1"/>
  <c r="Y155" i="2"/>
  <c r="Q54" i="2"/>
  <c r="S54" i="2" s="1"/>
  <c r="W54" i="2" s="1"/>
  <c r="Q155" i="2"/>
  <c r="S155" i="2" s="1"/>
  <c r="W155" i="2" s="1"/>
  <c r="Y158" i="2"/>
  <c r="Q158" i="2"/>
  <c r="S158" i="2" s="1"/>
  <c r="W158" i="2" s="1"/>
  <c r="Q171" i="2"/>
  <c r="S171" i="2" s="1"/>
  <c r="Y157" i="2"/>
  <c r="Q157" i="2"/>
  <c r="S157" i="2" s="1"/>
  <c r="W157" i="2" s="1"/>
  <c r="Y156" i="2"/>
  <c r="Z54" i="2"/>
  <c r="Q156" i="2"/>
  <c r="S156" i="2" s="1"/>
  <c r="W156" i="2" s="1"/>
  <c r="Y170" i="2"/>
  <c r="Q170" i="2"/>
  <c r="S170" i="2" s="1"/>
  <c r="W170" i="2" s="1"/>
  <c r="Z171" i="2"/>
  <c r="Q72" i="2"/>
  <c r="S72" i="2" s="1"/>
  <c r="Z116" i="2"/>
  <c r="Q116" i="2"/>
  <c r="S116" i="2" s="1"/>
  <c r="Y117" i="2"/>
  <c r="Q117" i="2"/>
  <c r="S117" i="2" s="1"/>
  <c r="W117" i="2" s="1"/>
  <c r="Y115" i="2"/>
  <c r="Q115" i="2"/>
  <c r="S115" i="2" s="1"/>
  <c r="W115" i="2" s="1"/>
  <c r="Y72" i="2"/>
  <c r="P131" i="6"/>
  <c r="P132" i="6"/>
  <c r="P224" i="6"/>
  <c r="P225" i="6"/>
  <c r="P223" i="6"/>
  <c r="P65" i="6"/>
  <c r="P64" i="6"/>
  <c r="V72" i="2" l="1"/>
  <c r="W72" i="2"/>
  <c r="T171" i="2"/>
  <c r="U171" i="2" s="1"/>
  <c r="AA171" i="2" s="1"/>
  <c r="W171" i="2"/>
  <c r="T116" i="2"/>
  <c r="U116" i="2" s="1"/>
  <c r="W116" i="2"/>
  <c r="AA164" i="2"/>
  <c r="AB164" i="2" s="1"/>
  <c r="AD164" i="2" s="1"/>
  <c r="T54" i="2"/>
  <c r="U54" i="2" s="1"/>
  <c r="V54" i="2"/>
  <c r="X54" i="2"/>
  <c r="V172" i="2"/>
  <c r="T172" i="2"/>
  <c r="U172" i="2" s="1"/>
  <c r="X172" i="2"/>
  <c r="T157" i="2"/>
  <c r="U157" i="2" s="1"/>
  <c r="X157" i="2"/>
  <c r="V157" i="2"/>
  <c r="V158" i="2"/>
  <c r="T158" i="2"/>
  <c r="U158" i="2" s="1"/>
  <c r="X158" i="2"/>
  <c r="V171" i="2"/>
  <c r="X156" i="2"/>
  <c r="V156" i="2"/>
  <c r="T156" i="2"/>
  <c r="U156" i="2" s="1"/>
  <c r="X155" i="2"/>
  <c r="V155" i="2"/>
  <c r="T155" i="2"/>
  <c r="U155" i="2" s="1"/>
  <c r="X171" i="2"/>
  <c r="AA54" i="2"/>
  <c r="AB54" i="2" s="1"/>
  <c r="AD54" i="2" s="1"/>
  <c r="T72" i="2"/>
  <c r="U72" i="2" s="1"/>
  <c r="X72" i="2"/>
  <c r="V170" i="2"/>
  <c r="T170" i="2"/>
  <c r="U170" i="2" s="1"/>
  <c r="X170" i="2"/>
  <c r="X116" i="2"/>
  <c r="V116" i="2"/>
  <c r="X115" i="2"/>
  <c r="V115" i="2"/>
  <c r="T115" i="2"/>
  <c r="U115" i="2" s="1"/>
  <c r="V117" i="2"/>
  <c r="T117" i="2"/>
  <c r="U117" i="2" s="1"/>
  <c r="X117" i="2"/>
  <c r="AA116" i="2"/>
  <c r="L79" i="3"/>
  <c r="L80" i="3"/>
  <c r="L81" i="3"/>
  <c r="L82" i="3"/>
  <c r="L83" i="3"/>
  <c r="L77" i="3"/>
  <c r="L78" i="3"/>
  <c r="AA172" i="2" l="1"/>
  <c r="AB172" i="2" s="1"/>
  <c r="AD172" i="2" s="1"/>
  <c r="AB171" i="2"/>
  <c r="AD171" i="2" s="1"/>
  <c r="AA155" i="2"/>
  <c r="AB155" i="2" s="1"/>
  <c r="AD155" i="2" s="1"/>
  <c r="AA157" i="2"/>
  <c r="AB157" i="2" s="1"/>
  <c r="AD157" i="2" s="1"/>
  <c r="AA158" i="2"/>
  <c r="AB158" i="2" s="1"/>
  <c r="AD158" i="2" s="1"/>
  <c r="AA156" i="2"/>
  <c r="AB156" i="2" s="1"/>
  <c r="AD156" i="2" s="1"/>
  <c r="AA117" i="2"/>
  <c r="AB117" i="2" s="1"/>
  <c r="AD117" i="2" s="1"/>
  <c r="AA72" i="2"/>
  <c r="AB72" i="2" s="1"/>
  <c r="AD72" i="2" s="1"/>
  <c r="AA170" i="2"/>
  <c r="AB170" i="2" s="1"/>
  <c r="AD170" i="2" s="1"/>
  <c r="AB116" i="2"/>
  <c r="AD116" i="2" s="1"/>
  <c r="AA115" i="2"/>
  <c r="AB115" i="2" s="1"/>
  <c r="AD115" i="2" s="1"/>
  <c r="P152" i="2"/>
  <c r="Z152" i="2" s="1"/>
  <c r="P151" i="2"/>
  <c r="Z151" i="2" s="1"/>
  <c r="P130" i="2"/>
  <c r="Y130" i="2" s="1"/>
  <c r="P131" i="2"/>
  <c r="Y131" i="2" s="1"/>
  <c r="AC146" i="2"/>
  <c r="AC147" i="2"/>
  <c r="AC148" i="2"/>
  <c r="AC145" i="2"/>
  <c r="Z147" i="2"/>
  <c r="Y147" i="2"/>
  <c r="P147" i="2"/>
  <c r="Q147" i="2" s="1"/>
  <c r="Z146" i="2"/>
  <c r="Y146" i="2"/>
  <c r="P146" i="2"/>
  <c r="Q146" i="2" s="1"/>
  <c r="AC169" i="2"/>
  <c r="P169" i="2"/>
  <c r="Z169" i="2" s="1"/>
  <c r="AC108" i="2"/>
  <c r="AC109" i="2"/>
  <c r="AC107" i="2"/>
  <c r="P109" i="2"/>
  <c r="Y109" i="2" s="1"/>
  <c r="P108" i="2"/>
  <c r="Z108" i="2" s="1"/>
  <c r="P120" i="2"/>
  <c r="Y120" i="2" s="1"/>
  <c r="P101" i="2"/>
  <c r="Z101" i="2" s="1"/>
  <c r="P100" i="2"/>
  <c r="Z100" i="2" s="1"/>
  <c r="Z191" i="2"/>
  <c r="Y191" i="2"/>
  <c r="P191" i="2"/>
  <c r="Q191" i="2" s="1"/>
  <c r="S191" i="2" s="1"/>
  <c r="P190" i="2"/>
  <c r="Q190" i="2" s="1"/>
  <c r="AC201" i="2"/>
  <c r="Z201" i="2"/>
  <c r="Y201" i="2"/>
  <c r="P201" i="2"/>
  <c r="Q201" i="2" s="1"/>
  <c r="AC200" i="2"/>
  <c r="Z200" i="2"/>
  <c r="Y200" i="2"/>
  <c r="P200" i="2"/>
  <c r="AC199" i="2"/>
  <c r="Z199" i="2"/>
  <c r="Y199" i="2"/>
  <c r="P199" i="2"/>
  <c r="Q199" i="2" s="1"/>
  <c r="AC198" i="2"/>
  <c r="Z198" i="2"/>
  <c r="Y198" i="2"/>
  <c r="P198" i="2"/>
  <c r="Q198" i="2" s="1"/>
  <c r="P87" i="2"/>
  <c r="Z87" i="2" s="1"/>
  <c r="AC47" i="2"/>
  <c r="P47" i="2"/>
  <c r="Z47" i="2" s="1"/>
  <c r="P36" i="2"/>
  <c r="Z36" i="2" s="1"/>
  <c r="P37" i="2"/>
  <c r="Y37" i="2" s="1"/>
  <c r="P32" i="2"/>
  <c r="Z32" i="2" s="1"/>
  <c r="P28" i="2"/>
  <c r="Z28" i="2" s="1"/>
  <c r="P27" i="2"/>
  <c r="Y27" i="2" s="1"/>
  <c r="AC26" i="2"/>
  <c r="AC28" i="2" s="1"/>
  <c r="P26" i="2"/>
  <c r="Z26" i="2" s="1"/>
  <c r="P24" i="2"/>
  <c r="Z24" i="2" s="1"/>
  <c r="P23" i="2"/>
  <c r="Z23" i="2" s="1"/>
  <c r="AC22" i="2"/>
  <c r="AC24" i="2" s="1"/>
  <c r="P22" i="2"/>
  <c r="Z22" i="2" s="1"/>
  <c r="P16" i="2"/>
  <c r="Z16" i="2" s="1"/>
  <c r="P12" i="2"/>
  <c r="Z12" i="2" s="1"/>
  <c r="P11" i="2"/>
  <c r="Z11" i="2" s="1"/>
  <c r="P7" i="2"/>
  <c r="Y7" i="2" s="1"/>
  <c r="E77" i="3"/>
  <c r="AJ77" i="3" s="1"/>
  <c r="E83" i="3"/>
  <c r="AJ83" i="3" s="1"/>
  <c r="E82" i="3"/>
  <c r="E81" i="3"/>
  <c r="AJ81" i="3" s="1"/>
  <c r="E80" i="3"/>
  <c r="AJ80" i="3" s="1"/>
  <c r="E79" i="3"/>
  <c r="AJ79" i="3" s="1"/>
  <c r="E78" i="3"/>
  <c r="AJ78" i="3" s="1"/>
  <c r="V191" i="2" l="1"/>
  <c r="W191" i="2"/>
  <c r="AJ82" i="3"/>
  <c r="Q152" i="2"/>
  <c r="S152" i="2" s="1"/>
  <c r="W152" i="2" s="1"/>
  <c r="Q151" i="2"/>
  <c r="S151" i="2" s="1"/>
  <c r="Y152" i="2"/>
  <c r="Y151" i="2"/>
  <c r="Q130" i="2"/>
  <c r="S130" i="2" s="1"/>
  <c r="Z130" i="2"/>
  <c r="Z131" i="2"/>
  <c r="Q131" i="2"/>
  <c r="S131" i="2" s="1"/>
  <c r="S146" i="2"/>
  <c r="S147" i="2"/>
  <c r="S169" i="2"/>
  <c r="W169" i="2" s="1"/>
  <c r="Y169" i="2"/>
  <c r="Y108" i="2"/>
  <c r="Q109" i="2"/>
  <c r="S109" i="2" s="1"/>
  <c r="W109" i="2" s="1"/>
  <c r="Z109" i="2"/>
  <c r="Q108" i="2"/>
  <c r="S108" i="2" s="1"/>
  <c r="W108" i="2" s="1"/>
  <c r="Q120" i="2"/>
  <c r="S120" i="2" s="1"/>
  <c r="W120" i="2" s="1"/>
  <c r="Z120" i="2"/>
  <c r="Q101" i="2"/>
  <c r="S101" i="2" s="1"/>
  <c r="W101" i="2" s="1"/>
  <c r="Q100" i="2"/>
  <c r="S100" i="2" s="1"/>
  <c r="W100" i="2" s="1"/>
  <c r="Y101" i="2"/>
  <c r="Y100" i="2"/>
  <c r="X191" i="2"/>
  <c r="T191" i="2"/>
  <c r="U191" i="2" s="1"/>
  <c r="S201" i="2"/>
  <c r="S198" i="2"/>
  <c r="S199" i="2"/>
  <c r="Q200" i="2"/>
  <c r="S200" i="2" s="1"/>
  <c r="W200" i="2" s="1"/>
  <c r="Q87" i="2"/>
  <c r="S87" i="2" s="1"/>
  <c r="W87" i="2" s="1"/>
  <c r="Y87" i="2"/>
  <c r="S36" i="2"/>
  <c r="W36" i="2" s="1"/>
  <c r="Y47" i="2"/>
  <c r="Q47" i="2"/>
  <c r="S47" i="2" s="1"/>
  <c r="W47" i="2" s="1"/>
  <c r="Q37" i="2"/>
  <c r="S37" i="2" s="1"/>
  <c r="W37" i="2" s="1"/>
  <c r="Y36" i="2"/>
  <c r="Z37" i="2"/>
  <c r="Q32" i="2"/>
  <c r="S32" i="2" s="1"/>
  <c r="W32" i="2" s="1"/>
  <c r="Y32" i="2"/>
  <c r="Q28" i="2"/>
  <c r="S28" i="2" s="1"/>
  <c r="W28" i="2" s="1"/>
  <c r="Q26" i="2"/>
  <c r="S26" i="2" s="1"/>
  <c r="W26" i="2" s="1"/>
  <c r="Q27" i="2"/>
  <c r="S27" i="2" s="1"/>
  <c r="W27" i="2" s="1"/>
  <c r="Y28" i="2"/>
  <c r="Z27" i="2"/>
  <c r="Y26" i="2"/>
  <c r="Q22" i="2"/>
  <c r="S22" i="2" s="1"/>
  <c r="W22" i="2" s="1"/>
  <c r="Q23" i="2"/>
  <c r="S23" i="2" s="1"/>
  <c r="W23" i="2" s="1"/>
  <c r="Q24" i="2"/>
  <c r="S24" i="2" s="1"/>
  <c r="W24" i="2" s="1"/>
  <c r="Q7" i="2"/>
  <c r="S7" i="2" s="1"/>
  <c r="W7" i="2" s="1"/>
  <c r="Y24" i="2"/>
  <c r="Y23" i="2"/>
  <c r="Q16" i="2"/>
  <c r="S16" i="2" s="1"/>
  <c r="W16" i="2" s="1"/>
  <c r="Y22" i="2"/>
  <c r="Q11" i="2"/>
  <c r="S11" i="2" s="1"/>
  <c r="W11" i="2" s="1"/>
  <c r="Q12" i="2"/>
  <c r="S12" i="2" s="1"/>
  <c r="W12" i="2" s="1"/>
  <c r="Y16" i="2"/>
  <c r="Y12" i="2"/>
  <c r="Y11" i="2"/>
  <c r="Z7" i="2"/>
  <c r="P184" i="2"/>
  <c r="Y184" i="2" s="1"/>
  <c r="P183" i="2"/>
  <c r="Y183" i="2" s="1"/>
  <c r="P181" i="2"/>
  <c r="Z181" i="2" s="1"/>
  <c r="P180" i="2"/>
  <c r="Z180" i="2" s="1"/>
  <c r="P177" i="2"/>
  <c r="Z177" i="2" s="1"/>
  <c r="P176" i="2"/>
  <c r="Y176" i="2" s="1"/>
  <c r="P175" i="2"/>
  <c r="Z175" i="2" s="1"/>
  <c r="P168" i="2"/>
  <c r="Z168" i="2" s="1"/>
  <c r="P167" i="2"/>
  <c r="Z167" i="2" s="1"/>
  <c r="P166" i="2"/>
  <c r="Y166" i="2" s="1"/>
  <c r="P165" i="2"/>
  <c r="Z165" i="2" s="1"/>
  <c r="P163" i="2"/>
  <c r="Z163" i="2" s="1"/>
  <c r="P162" i="2"/>
  <c r="Y162" i="2" s="1"/>
  <c r="P153" i="2"/>
  <c r="P150" i="2"/>
  <c r="P148" i="2"/>
  <c r="Q148" i="2" s="1"/>
  <c r="P145" i="2"/>
  <c r="Q145" i="2" s="1"/>
  <c r="P142" i="2"/>
  <c r="Z142" i="2" s="1"/>
  <c r="P141" i="2"/>
  <c r="Z141" i="2" s="1"/>
  <c r="P140" i="2"/>
  <c r="Z140" i="2" s="1"/>
  <c r="P139" i="2"/>
  <c r="Z139" i="2" s="1"/>
  <c r="P134" i="2"/>
  <c r="Z134" i="2" s="1"/>
  <c r="P135" i="2"/>
  <c r="Z135" i="2" s="1"/>
  <c r="P136" i="2"/>
  <c r="Z136" i="2" s="1"/>
  <c r="P133" i="2"/>
  <c r="Y133" i="2" s="1"/>
  <c r="AC133" i="2"/>
  <c r="P129" i="2"/>
  <c r="P125" i="2"/>
  <c r="Y125" i="2" s="1"/>
  <c r="P124" i="2"/>
  <c r="Z124" i="2" s="1"/>
  <c r="P123" i="2"/>
  <c r="Z123" i="2" s="1"/>
  <c r="P119" i="2"/>
  <c r="P113" i="2"/>
  <c r="Z113" i="2" s="1"/>
  <c r="P112" i="2"/>
  <c r="Y112" i="2" s="1"/>
  <c r="P111" i="2"/>
  <c r="Z111" i="2" s="1"/>
  <c r="P107" i="2"/>
  <c r="P103" i="2"/>
  <c r="Z103" i="2" s="1"/>
  <c r="P99" i="2"/>
  <c r="P98" i="2"/>
  <c r="P92" i="2"/>
  <c r="Z92" i="2" s="1"/>
  <c r="P91" i="2"/>
  <c r="Z91" i="2" s="1"/>
  <c r="P88" i="2"/>
  <c r="Y88" i="2" s="1"/>
  <c r="P86" i="2"/>
  <c r="Z86" i="2" s="1"/>
  <c r="P84" i="2"/>
  <c r="Z84" i="2" s="1"/>
  <c r="P83" i="2"/>
  <c r="Z83" i="2" s="1"/>
  <c r="P82" i="2"/>
  <c r="Y82" i="2" s="1"/>
  <c r="P79" i="2"/>
  <c r="Z79" i="2" s="1"/>
  <c r="P76" i="2"/>
  <c r="Z76" i="2" s="1"/>
  <c r="P75" i="2"/>
  <c r="Z75" i="2" s="1"/>
  <c r="P74" i="2"/>
  <c r="Y74" i="2" s="1"/>
  <c r="P70" i="2"/>
  <c r="Z70" i="2" s="1"/>
  <c r="P68" i="2"/>
  <c r="Z68" i="2" s="1"/>
  <c r="P65" i="2"/>
  <c r="Z65" i="2" s="1"/>
  <c r="P63" i="2"/>
  <c r="Y63" i="2" s="1"/>
  <c r="P62" i="2"/>
  <c r="Z62" i="2" s="1"/>
  <c r="P60" i="2"/>
  <c r="Z60" i="2" s="1"/>
  <c r="P56" i="2"/>
  <c r="Z56" i="2" s="1"/>
  <c r="P55" i="2"/>
  <c r="Z55" i="2" s="1"/>
  <c r="P53" i="2"/>
  <c r="Y53" i="2" s="1"/>
  <c r="P52" i="2"/>
  <c r="Z52" i="2" s="1"/>
  <c r="P51" i="2"/>
  <c r="Z51" i="2" s="1"/>
  <c r="P46" i="2"/>
  <c r="Z46" i="2" s="1"/>
  <c r="P45" i="2"/>
  <c r="Y45" i="2" s="1"/>
  <c r="P44" i="2"/>
  <c r="Z44" i="2" s="1"/>
  <c r="P43" i="2"/>
  <c r="Z43" i="2" s="1"/>
  <c r="P42" i="2"/>
  <c r="Z42" i="2" s="1"/>
  <c r="P41" i="2"/>
  <c r="Y41" i="2" s="1"/>
  <c r="P40" i="2"/>
  <c r="Z40" i="2" s="1"/>
  <c r="P31" i="2"/>
  <c r="P34" i="2"/>
  <c r="P35" i="2"/>
  <c r="P20" i="2"/>
  <c r="Z20" i="2" s="1"/>
  <c r="P19" i="2"/>
  <c r="Z19" i="2" s="1"/>
  <c r="P17" i="2"/>
  <c r="P15" i="2"/>
  <c r="P10" i="2"/>
  <c r="P9" i="2"/>
  <c r="P6" i="2"/>
  <c r="Y6" i="2" s="1"/>
  <c r="P3" i="2"/>
  <c r="Y3" i="2" s="1"/>
  <c r="P4" i="2"/>
  <c r="Y4" i="2" s="1"/>
  <c r="P2" i="2"/>
  <c r="T131" i="2" l="1"/>
  <c r="W131" i="2"/>
  <c r="V198" i="2"/>
  <c r="W198" i="2"/>
  <c r="V130" i="2"/>
  <c r="W130" i="2"/>
  <c r="V151" i="2"/>
  <c r="W151" i="2"/>
  <c r="V147" i="2"/>
  <c r="W147" i="2"/>
  <c r="T199" i="2"/>
  <c r="U199" i="2" s="1"/>
  <c r="W199" i="2"/>
  <c r="T201" i="2"/>
  <c r="U201" i="2" s="1"/>
  <c r="W201" i="2"/>
  <c r="X146" i="2"/>
  <c r="W146" i="2"/>
  <c r="Z2" i="2"/>
  <c r="T146" i="2"/>
  <c r="U146" i="2" s="1"/>
  <c r="T130" i="2"/>
  <c r="U130" i="2" s="1"/>
  <c r="X130" i="2"/>
  <c r="Z150" i="2"/>
  <c r="Q150" i="2"/>
  <c r="V146" i="2"/>
  <c r="Z153" i="2"/>
  <c r="Q153" i="2"/>
  <c r="X147" i="2"/>
  <c r="X151" i="2"/>
  <c r="T151" i="2"/>
  <c r="U151" i="2" s="1"/>
  <c r="V152" i="2"/>
  <c r="T152" i="2"/>
  <c r="U152" i="2" s="1"/>
  <c r="X152" i="2"/>
  <c r="U131" i="2"/>
  <c r="T147" i="2"/>
  <c r="U147" i="2" s="1"/>
  <c r="V131" i="2"/>
  <c r="X131" i="2"/>
  <c r="Z129" i="2"/>
  <c r="Q129" i="2"/>
  <c r="T169" i="2"/>
  <c r="U169" i="2" s="1"/>
  <c r="X169" i="2"/>
  <c r="V169" i="2"/>
  <c r="Z107" i="2"/>
  <c r="Q107" i="2"/>
  <c r="T108" i="2"/>
  <c r="U108" i="2" s="1"/>
  <c r="X108" i="2"/>
  <c r="V108" i="2"/>
  <c r="V109" i="2"/>
  <c r="T109" i="2"/>
  <c r="U109" i="2" s="1"/>
  <c r="X109" i="2"/>
  <c r="Z119" i="2"/>
  <c r="Q119" i="2"/>
  <c r="X198" i="2"/>
  <c r="T120" i="2"/>
  <c r="U120" i="2" s="1"/>
  <c r="X120" i="2"/>
  <c r="V120" i="2"/>
  <c r="Z98" i="2"/>
  <c r="Q98" i="2"/>
  <c r="Y99" i="2"/>
  <c r="Q99" i="2"/>
  <c r="T100" i="2"/>
  <c r="U100" i="2" s="1"/>
  <c r="X100" i="2"/>
  <c r="V100" i="2"/>
  <c r="V101" i="2"/>
  <c r="T101" i="2"/>
  <c r="U101" i="2" s="1"/>
  <c r="X101" i="2"/>
  <c r="X201" i="2"/>
  <c r="V201" i="2"/>
  <c r="V199" i="2"/>
  <c r="T198" i="2"/>
  <c r="U198" i="2" s="1"/>
  <c r="AA191" i="2"/>
  <c r="AB191" i="2" s="1"/>
  <c r="X199" i="2"/>
  <c r="T200" i="2"/>
  <c r="U200" i="2" s="1"/>
  <c r="X200" i="2"/>
  <c r="V200" i="2"/>
  <c r="AA201" i="2"/>
  <c r="V87" i="2"/>
  <c r="T87" i="2"/>
  <c r="U87" i="2" s="1"/>
  <c r="X87" i="2"/>
  <c r="Z34" i="2"/>
  <c r="Q34" i="2"/>
  <c r="Z35" i="2"/>
  <c r="Q35" i="2"/>
  <c r="V47" i="2"/>
  <c r="T47" i="2"/>
  <c r="U47" i="2" s="1"/>
  <c r="X47" i="2"/>
  <c r="V36" i="2"/>
  <c r="T36" i="2"/>
  <c r="U36" i="2" s="1"/>
  <c r="X36" i="2"/>
  <c r="V37" i="2"/>
  <c r="T37" i="2"/>
  <c r="U37" i="2" s="1"/>
  <c r="X37" i="2"/>
  <c r="Y31" i="2"/>
  <c r="Q31" i="2"/>
  <c r="V32" i="2"/>
  <c r="T32" i="2"/>
  <c r="U32" i="2" s="1"/>
  <c r="X32" i="2"/>
  <c r="X26" i="2"/>
  <c r="T26" i="2"/>
  <c r="U26" i="2" s="1"/>
  <c r="V26" i="2"/>
  <c r="T27" i="2"/>
  <c r="U27" i="2" s="1"/>
  <c r="X27" i="2"/>
  <c r="V27" i="2"/>
  <c r="V28" i="2"/>
  <c r="T28" i="2"/>
  <c r="U28" i="2" s="1"/>
  <c r="X28" i="2"/>
  <c r="Z4" i="2"/>
  <c r="Z74" i="2"/>
  <c r="Z82" i="2"/>
  <c r="Z31" i="2"/>
  <c r="X22" i="2"/>
  <c r="V22" i="2"/>
  <c r="T22" i="2"/>
  <c r="U22" i="2" s="1"/>
  <c r="T23" i="2"/>
  <c r="U23" i="2" s="1"/>
  <c r="X23" i="2"/>
  <c r="V23" i="2"/>
  <c r="Z125" i="2"/>
  <c r="Y17" i="2"/>
  <c r="Q17" i="2"/>
  <c r="Y139" i="2"/>
  <c r="Z133" i="2"/>
  <c r="V24" i="2"/>
  <c r="T24" i="2"/>
  <c r="U24" i="2" s="1"/>
  <c r="X24" i="2"/>
  <c r="Z15" i="2"/>
  <c r="Q15" i="2"/>
  <c r="Y140" i="2"/>
  <c r="Z184" i="2"/>
  <c r="Z9" i="2"/>
  <c r="Q9" i="2"/>
  <c r="Z17" i="2"/>
  <c r="Y181" i="2"/>
  <c r="Z41" i="2"/>
  <c r="Z88" i="2"/>
  <c r="Z176" i="2"/>
  <c r="Z45" i="2"/>
  <c r="Z99" i="2"/>
  <c r="V16" i="2"/>
  <c r="T16" i="2"/>
  <c r="U16" i="2" s="1"/>
  <c r="X16" i="2"/>
  <c r="Y168" i="2"/>
  <c r="Z53" i="2"/>
  <c r="Z112" i="2"/>
  <c r="Z10" i="2"/>
  <c r="Q10" i="2"/>
  <c r="Z162" i="2"/>
  <c r="Z166" i="2"/>
  <c r="Z63" i="2"/>
  <c r="V12" i="2"/>
  <c r="T12" i="2"/>
  <c r="U12" i="2" s="1"/>
  <c r="X12" i="2"/>
  <c r="T11" i="2"/>
  <c r="U11" i="2" s="1"/>
  <c r="X11" i="2"/>
  <c r="V11" i="2"/>
  <c r="V7" i="2"/>
  <c r="T7" i="2"/>
  <c r="U7" i="2" s="1"/>
  <c r="X7" i="2"/>
  <c r="Y180" i="2"/>
  <c r="Y177" i="2"/>
  <c r="Y163" i="2"/>
  <c r="Y167" i="2"/>
  <c r="Y9" i="2"/>
  <c r="Y19" i="2"/>
  <c r="Y34" i="2"/>
  <c r="Y42" i="2"/>
  <c r="Y46" i="2"/>
  <c r="Y55" i="2"/>
  <c r="Y65" i="2"/>
  <c r="Y75" i="2"/>
  <c r="Y83" i="2"/>
  <c r="Y91" i="2"/>
  <c r="Y103" i="2"/>
  <c r="Y113" i="2"/>
  <c r="Y119" i="2"/>
  <c r="Y135" i="2"/>
  <c r="Y150" i="2"/>
  <c r="Y10" i="2"/>
  <c r="Y20" i="2"/>
  <c r="Y35" i="2"/>
  <c r="Y43" i="2"/>
  <c r="Y51" i="2"/>
  <c r="Y56" i="2"/>
  <c r="Y60" i="2"/>
  <c r="Y68" i="2"/>
  <c r="Y76" i="2"/>
  <c r="Y79" i="2"/>
  <c r="Y84" i="2"/>
  <c r="Y92" i="2"/>
  <c r="Y107" i="2"/>
  <c r="Y123" i="2"/>
  <c r="Y136" i="2"/>
  <c r="Y141" i="2"/>
  <c r="Z183" i="2"/>
  <c r="Y175" i="2"/>
  <c r="Y165" i="2"/>
  <c r="Y153" i="2"/>
  <c r="Y15" i="2"/>
  <c r="Y40" i="2"/>
  <c r="Y44" i="2"/>
  <c r="Y52" i="2"/>
  <c r="Y62" i="2"/>
  <c r="Y70" i="2"/>
  <c r="Y86" i="2"/>
  <c r="Y98" i="2"/>
  <c r="Y111" i="2"/>
  <c r="Y124" i="2"/>
  <c r="Y129" i="2"/>
  <c r="Z6" i="2"/>
  <c r="Z3" i="2"/>
  <c r="Y2" i="2"/>
  <c r="Y134" i="2"/>
  <c r="Y142" i="2"/>
  <c r="AA199" i="2" l="1"/>
  <c r="AA146" i="2"/>
  <c r="AB146" i="2" s="1"/>
  <c r="AD146" i="2" s="1"/>
  <c r="AA130" i="2"/>
  <c r="AB130" i="2" s="1"/>
  <c r="AA147" i="2"/>
  <c r="AB147" i="2" s="1"/>
  <c r="AD147" i="2" s="1"/>
  <c r="AA151" i="2"/>
  <c r="AB151" i="2" s="1"/>
  <c r="AA152" i="2"/>
  <c r="AB152" i="2" s="1"/>
  <c r="AA169" i="2"/>
  <c r="AB169" i="2" s="1"/>
  <c r="AD169" i="2" s="1"/>
  <c r="AA131" i="2"/>
  <c r="AB131" i="2" s="1"/>
  <c r="AA109" i="2"/>
  <c r="AB109" i="2" s="1"/>
  <c r="AD109" i="2" s="1"/>
  <c r="AA108" i="2"/>
  <c r="AB108" i="2" s="1"/>
  <c r="AD108" i="2" s="1"/>
  <c r="AA120" i="2"/>
  <c r="AB120" i="2" s="1"/>
  <c r="AA198" i="2"/>
  <c r="AB198" i="2" s="1"/>
  <c r="AD198" i="2" s="1"/>
  <c r="AB201" i="2"/>
  <c r="AD201" i="2" s="1"/>
  <c r="AA100" i="2"/>
  <c r="AB100" i="2" s="1"/>
  <c r="AA101" i="2"/>
  <c r="AB101" i="2" s="1"/>
  <c r="AB199" i="2"/>
  <c r="AD199" i="2" s="1"/>
  <c r="AA200" i="2"/>
  <c r="AB200" i="2" s="1"/>
  <c r="AD200" i="2" s="1"/>
  <c r="AA87" i="2"/>
  <c r="AB87" i="2" s="1"/>
  <c r="AA36" i="2"/>
  <c r="AB36" i="2" s="1"/>
  <c r="AA47" i="2"/>
  <c r="AB47" i="2" s="1"/>
  <c r="AD47" i="2" s="1"/>
  <c r="AA26" i="2"/>
  <c r="AB26" i="2" s="1"/>
  <c r="AD26" i="2" s="1"/>
  <c r="AA37" i="2"/>
  <c r="AB37" i="2" s="1"/>
  <c r="AA32" i="2"/>
  <c r="AB32" i="2" s="1"/>
  <c r="AA23" i="2"/>
  <c r="AB23" i="2" s="1"/>
  <c r="AA28" i="2"/>
  <c r="AB28" i="2" s="1"/>
  <c r="AD28" i="2" s="1"/>
  <c r="AA27" i="2"/>
  <c r="AB27" i="2" s="1"/>
  <c r="AA24" i="2"/>
  <c r="AB24" i="2" s="1"/>
  <c r="AD24" i="2" s="1"/>
  <c r="AA22" i="2"/>
  <c r="AB22" i="2" s="1"/>
  <c r="AD22" i="2" s="1"/>
  <c r="AA16" i="2"/>
  <c r="AB16" i="2" s="1"/>
  <c r="AA12" i="2"/>
  <c r="AB12" i="2" s="1"/>
  <c r="AA11" i="2"/>
  <c r="AB11" i="2" s="1"/>
  <c r="AA7" i="2"/>
  <c r="AB7" i="2" s="1"/>
  <c r="D168" i="5" l="1"/>
  <c r="D164" i="5"/>
  <c r="D163" i="5"/>
  <c r="D158" i="5"/>
  <c r="D153" i="5"/>
  <c r="D149" i="5"/>
  <c r="D141" i="5"/>
  <c r="D137" i="5"/>
  <c r="D136" i="5"/>
  <c r="D133" i="5"/>
  <c r="D132" i="5"/>
  <c r="D98" i="5"/>
  <c r="D79" i="5"/>
  <c r="AC168" i="2" l="1"/>
  <c r="F76" i="3"/>
  <c r="Q168" i="2" l="1"/>
  <c r="S168" i="2" s="1"/>
  <c r="V168" i="2" l="1"/>
  <c r="W168" i="2"/>
  <c r="X168" i="2"/>
  <c r="T168" i="2"/>
  <c r="U168" i="2" s="1"/>
  <c r="AA168" i="2" l="1"/>
  <c r="AB168" i="2" s="1"/>
  <c r="AD168" i="2" s="1"/>
  <c r="S35" i="2" l="1"/>
  <c r="V35" i="2" l="1"/>
  <c r="W35" i="2"/>
  <c r="T35" i="2"/>
  <c r="U35" i="2" s="1"/>
  <c r="X35" i="2"/>
  <c r="AA35" i="2" l="1"/>
  <c r="AB35" i="2" s="1"/>
  <c r="F136" i="5" l="1"/>
  <c r="Q136" i="5" l="1"/>
  <c r="M136" i="5"/>
  <c r="O136" i="5"/>
  <c r="L136" i="5"/>
  <c r="E136" i="5"/>
  <c r="P136" i="5"/>
  <c r="N136" i="5"/>
  <c r="K136" i="5"/>
  <c r="J136" i="5"/>
  <c r="I136" i="5"/>
  <c r="H136" i="5"/>
  <c r="G136" i="5"/>
  <c r="I334" i="6"/>
  <c r="N281" i="6"/>
  <c r="O281" i="6" s="1"/>
  <c r="P281" i="6" s="1"/>
  <c r="R136" i="5" l="1"/>
  <c r="D21" i="7"/>
  <c r="AJ63" i="3" l="1"/>
  <c r="L63" i="3"/>
  <c r="AJ99" i="3"/>
  <c r="AC204" i="2"/>
  <c r="AC205" i="2"/>
  <c r="AC203" i="2"/>
  <c r="AC194" i="2"/>
  <c r="AC195" i="2"/>
  <c r="AC196" i="2"/>
  <c r="AC193" i="2"/>
  <c r="AJ92" i="3"/>
  <c r="AJ93" i="3"/>
  <c r="AJ94" i="3"/>
  <c r="Q209" i="2"/>
  <c r="P205" i="2"/>
  <c r="Q205" i="2" s="1"/>
  <c r="P204" i="2"/>
  <c r="Q204" i="2" s="1"/>
  <c r="P203" i="2"/>
  <c r="Q203" i="2" s="1"/>
  <c r="P196" i="2"/>
  <c r="P195" i="2"/>
  <c r="P194" i="2"/>
  <c r="P193" i="2"/>
  <c r="Z196" i="2"/>
  <c r="Y196" i="2"/>
  <c r="Z205" i="2"/>
  <c r="Y205" i="2"/>
  <c r="Z204" i="2"/>
  <c r="Y204" i="2"/>
  <c r="Z203" i="2"/>
  <c r="Y203" i="2"/>
  <c r="Z195" i="2"/>
  <c r="Y195" i="2"/>
  <c r="Z194" i="2"/>
  <c r="Y194" i="2"/>
  <c r="AC40" i="2"/>
  <c r="Q40" i="2"/>
  <c r="S40" i="2" s="1"/>
  <c r="W40" i="2" s="1"/>
  <c r="L93" i="3" l="1"/>
  <c r="Q196" i="2"/>
  <c r="S196" i="2" s="1"/>
  <c r="V40" i="2"/>
  <c r="T40" i="2"/>
  <c r="U40" i="2" s="1"/>
  <c r="X40" i="2"/>
  <c r="N334" i="6"/>
  <c r="O334" i="6" s="1"/>
  <c r="P334" i="6" s="1"/>
  <c r="N329" i="6"/>
  <c r="O329" i="6" s="1"/>
  <c r="N328" i="6"/>
  <c r="O328" i="6" s="1"/>
  <c r="N327" i="6"/>
  <c r="O327" i="6" s="1"/>
  <c r="N322" i="6"/>
  <c r="O322" i="6" s="1"/>
  <c r="P322" i="6" s="1"/>
  <c r="N321" i="6"/>
  <c r="O321" i="6" s="1"/>
  <c r="N320" i="6"/>
  <c r="O320" i="6" s="1"/>
  <c r="N319" i="6"/>
  <c r="O319" i="6" s="1"/>
  <c r="N318" i="6"/>
  <c r="O318" i="6" s="1"/>
  <c r="N317" i="6"/>
  <c r="O317" i="6" s="1"/>
  <c r="N316" i="6"/>
  <c r="O316" i="6" s="1"/>
  <c r="N315" i="6"/>
  <c r="O315" i="6" s="1"/>
  <c r="N314" i="6"/>
  <c r="O314" i="6" s="1"/>
  <c r="N313" i="6"/>
  <c r="O313" i="6" s="1"/>
  <c r="N312" i="6"/>
  <c r="O312" i="6" s="1"/>
  <c r="N311" i="6"/>
  <c r="O311" i="6" s="1"/>
  <c r="N310" i="6"/>
  <c r="O310" i="6" s="1"/>
  <c r="N309" i="6"/>
  <c r="O309" i="6" s="1"/>
  <c r="N308" i="6"/>
  <c r="O308" i="6" s="1"/>
  <c r="N307" i="6"/>
  <c r="O307" i="6" s="1"/>
  <c r="N306" i="6"/>
  <c r="O306" i="6" s="1"/>
  <c r="N305" i="6"/>
  <c r="O305" i="6" s="1"/>
  <c r="N304" i="6"/>
  <c r="O304" i="6" s="1"/>
  <c r="N303" i="6"/>
  <c r="O303" i="6" s="1"/>
  <c r="N302" i="6"/>
  <c r="O302" i="6" s="1"/>
  <c r="N301" i="6"/>
  <c r="O301" i="6" s="1"/>
  <c r="N300" i="6"/>
  <c r="O300" i="6" s="1"/>
  <c r="N299" i="6"/>
  <c r="O299" i="6" s="1"/>
  <c r="N298" i="6"/>
  <c r="O298" i="6" s="1"/>
  <c r="N297" i="6"/>
  <c r="O297" i="6" s="1"/>
  <c r="N296" i="6"/>
  <c r="O296" i="6" s="1"/>
  <c r="N295" i="6"/>
  <c r="O295" i="6" s="1"/>
  <c r="N294" i="6"/>
  <c r="O294" i="6" s="1"/>
  <c r="N293" i="6"/>
  <c r="O293" i="6" s="1"/>
  <c r="N292" i="6"/>
  <c r="O292" i="6" s="1"/>
  <c r="N291" i="6"/>
  <c r="O291" i="6" s="1"/>
  <c r="N290" i="6"/>
  <c r="O290" i="6" s="1"/>
  <c r="N289" i="6"/>
  <c r="O289" i="6" s="1"/>
  <c r="N288" i="6"/>
  <c r="O288" i="6" s="1"/>
  <c r="N287" i="6"/>
  <c r="O287" i="6" s="1"/>
  <c r="N286" i="6"/>
  <c r="O286" i="6" s="1"/>
  <c r="N285" i="6"/>
  <c r="O285" i="6" s="1"/>
  <c r="N284" i="6"/>
  <c r="O284" i="6" s="1"/>
  <c r="P284" i="6" s="1"/>
  <c r="N283" i="6"/>
  <c r="O283" i="6" s="1"/>
  <c r="P283" i="6" s="1"/>
  <c r="N282" i="6"/>
  <c r="O282" i="6" s="1"/>
  <c r="P282" i="6" s="1"/>
  <c r="N280" i="6"/>
  <c r="O280" i="6" s="1"/>
  <c r="P280" i="6" s="1"/>
  <c r="N279" i="6"/>
  <c r="O279" i="6" s="1"/>
  <c r="P279" i="6" s="1"/>
  <c r="N270" i="6"/>
  <c r="O270" i="6" s="1"/>
  <c r="N269" i="6"/>
  <c r="O269" i="6" s="1"/>
  <c r="N266" i="6"/>
  <c r="O266" i="6" s="1"/>
  <c r="N265" i="6"/>
  <c r="O265" i="6" s="1"/>
  <c r="N264" i="6"/>
  <c r="O264" i="6" s="1"/>
  <c r="N263" i="6"/>
  <c r="O263" i="6" s="1"/>
  <c r="N262" i="6"/>
  <c r="O262" i="6" s="1"/>
  <c r="N261" i="6"/>
  <c r="O261" i="6" s="1"/>
  <c r="N260" i="6"/>
  <c r="O260" i="6" s="1"/>
  <c r="N259" i="6"/>
  <c r="O259" i="6" s="1"/>
  <c r="N258" i="6"/>
  <c r="O258" i="6" s="1"/>
  <c r="N257" i="6"/>
  <c r="O257" i="6" s="1"/>
  <c r="N256" i="6"/>
  <c r="O256" i="6" s="1"/>
  <c r="N255" i="6"/>
  <c r="O255" i="6" s="1"/>
  <c r="N254" i="6"/>
  <c r="O254" i="6" s="1"/>
  <c r="N253" i="6"/>
  <c r="O253" i="6" s="1"/>
  <c r="N252" i="6"/>
  <c r="O252" i="6" s="1"/>
  <c r="N251" i="6"/>
  <c r="O251" i="6" s="1"/>
  <c r="N250" i="6"/>
  <c r="O250" i="6" s="1"/>
  <c r="N249" i="6"/>
  <c r="O249" i="6" s="1"/>
  <c r="N248" i="6"/>
  <c r="O248" i="6" s="1"/>
  <c r="N247" i="6"/>
  <c r="O247" i="6" s="1"/>
  <c r="N246" i="6"/>
  <c r="O246" i="6" s="1"/>
  <c r="N245" i="6"/>
  <c r="O245" i="6" s="1"/>
  <c r="N244" i="6"/>
  <c r="O244" i="6" s="1"/>
  <c r="N243" i="6"/>
  <c r="O243" i="6" s="1"/>
  <c r="N242" i="6"/>
  <c r="O242" i="6" s="1"/>
  <c r="N241" i="6"/>
  <c r="O241" i="6" s="1"/>
  <c r="N240" i="6"/>
  <c r="O240" i="6" s="1"/>
  <c r="N239" i="6"/>
  <c r="O239" i="6" s="1"/>
  <c r="N238" i="6"/>
  <c r="O238" i="6" s="1"/>
  <c r="N237" i="6"/>
  <c r="O237" i="6" s="1"/>
  <c r="N236" i="6"/>
  <c r="O236" i="6" s="1"/>
  <c r="N235" i="6"/>
  <c r="O235" i="6" s="1"/>
  <c r="N234" i="6"/>
  <c r="O234" i="6" s="1"/>
  <c r="N233" i="6"/>
  <c r="O233" i="6" s="1"/>
  <c r="N232" i="6"/>
  <c r="O232" i="6" s="1"/>
  <c r="N231" i="6"/>
  <c r="O231" i="6" s="1"/>
  <c r="N226" i="6"/>
  <c r="O226" i="6" s="1"/>
  <c r="N222" i="6"/>
  <c r="O222" i="6" s="1"/>
  <c r="N221" i="6"/>
  <c r="O221" i="6" s="1"/>
  <c r="N220" i="6"/>
  <c r="O220" i="6" s="1"/>
  <c r="N219" i="6"/>
  <c r="O219" i="6" s="1"/>
  <c r="N218" i="6"/>
  <c r="O218" i="6" s="1"/>
  <c r="N217" i="6"/>
  <c r="O217" i="6" s="1"/>
  <c r="N216" i="6"/>
  <c r="O216" i="6" s="1"/>
  <c r="N215" i="6"/>
  <c r="O215" i="6" s="1"/>
  <c r="N214" i="6"/>
  <c r="O214" i="6" s="1"/>
  <c r="N213" i="6"/>
  <c r="O213" i="6" s="1"/>
  <c r="N212" i="6"/>
  <c r="O212" i="6" s="1"/>
  <c r="N211" i="6"/>
  <c r="O211" i="6" s="1"/>
  <c r="N210" i="6"/>
  <c r="O210" i="6" s="1"/>
  <c r="N209" i="6"/>
  <c r="O209" i="6" s="1"/>
  <c r="N208" i="6"/>
  <c r="O208" i="6" s="1"/>
  <c r="N207" i="6"/>
  <c r="O207" i="6" s="1"/>
  <c r="N206" i="6"/>
  <c r="O206" i="6" s="1"/>
  <c r="N205" i="6"/>
  <c r="O205" i="6" s="1"/>
  <c r="N204" i="6"/>
  <c r="O204" i="6" s="1"/>
  <c r="N203" i="6"/>
  <c r="O203" i="6" s="1"/>
  <c r="N202" i="6"/>
  <c r="O202" i="6" s="1"/>
  <c r="N201" i="6"/>
  <c r="O201" i="6" s="1"/>
  <c r="N200" i="6"/>
  <c r="O200" i="6" s="1"/>
  <c r="N199" i="6"/>
  <c r="O199" i="6" s="1"/>
  <c r="N198" i="6"/>
  <c r="O198" i="6" s="1"/>
  <c r="N197" i="6"/>
  <c r="O197" i="6" s="1"/>
  <c r="N194" i="6"/>
  <c r="N193" i="6"/>
  <c r="N192" i="6"/>
  <c r="N191" i="6"/>
  <c r="O191" i="6" s="1"/>
  <c r="O192" i="6" s="1"/>
  <c r="O193" i="6" s="1"/>
  <c r="O194" i="6" s="1"/>
  <c r="N187" i="6"/>
  <c r="O187" i="6" s="1"/>
  <c r="N186" i="6"/>
  <c r="O186" i="6" s="1"/>
  <c r="N185" i="6"/>
  <c r="O185" i="6" s="1"/>
  <c r="N184" i="6"/>
  <c r="O184" i="6" s="1"/>
  <c r="N183" i="6"/>
  <c r="O183" i="6" s="1"/>
  <c r="N182" i="6"/>
  <c r="O182" i="6" s="1"/>
  <c r="N181" i="6"/>
  <c r="O181" i="6" s="1"/>
  <c r="N180" i="6"/>
  <c r="O180" i="6" s="1"/>
  <c r="N179" i="6"/>
  <c r="O179" i="6" s="1"/>
  <c r="N178" i="6"/>
  <c r="O178" i="6" s="1"/>
  <c r="N177" i="6"/>
  <c r="O177" i="6" s="1"/>
  <c r="N176" i="6"/>
  <c r="O176" i="6" s="1"/>
  <c r="N175" i="6"/>
  <c r="O175" i="6" s="1"/>
  <c r="N174" i="6"/>
  <c r="O174" i="6" s="1"/>
  <c r="N173" i="6"/>
  <c r="O173" i="6" s="1"/>
  <c r="N172" i="6"/>
  <c r="O172" i="6" s="1"/>
  <c r="N171" i="6"/>
  <c r="O171" i="6" s="1"/>
  <c r="N170" i="6"/>
  <c r="O170" i="6" s="1"/>
  <c r="N169" i="6"/>
  <c r="O169" i="6" s="1"/>
  <c r="N168" i="6"/>
  <c r="O168" i="6" s="1"/>
  <c r="N167" i="6"/>
  <c r="O167" i="6" s="1"/>
  <c r="N166" i="6"/>
  <c r="O166" i="6" s="1"/>
  <c r="N165" i="6"/>
  <c r="O165" i="6" s="1"/>
  <c r="N164" i="6"/>
  <c r="O164" i="6" s="1"/>
  <c r="N163" i="6"/>
  <c r="O163" i="6" s="1"/>
  <c r="N162" i="6"/>
  <c r="O162" i="6" s="1"/>
  <c r="N161" i="6"/>
  <c r="O161" i="6" s="1"/>
  <c r="N160" i="6"/>
  <c r="O160" i="6" s="1"/>
  <c r="N159" i="6"/>
  <c r="O159" i="6" s="1"/>
  <c r="N158" i="6"/>
  <c r="O158" i="6" s="1"/>
  <c r="N157" i="6"/>
  <c r="O157" i="6" s="1"/>
  <c r="N156" i="6"/>
  <c r="O156" i="6" s="1"/>
  <c r="N155" i="6"/>
  <c r="O155" i="6" s="1"/>
  <c r="N154" i="6"/>
  <c r="O154" i="6" s="1"/>
  <c r="N153" i="6"/>
  <c r="O153" i="6" s="1"/>
  <c r="N152" i="6"/>
  <c r="O152" i="6" s="1"/>
  <c r="N151" i="6"/>
  <c r="O151" i="6" s="1"/>
  <c r="N150" i="6"/>
  <c r="O150" i="6" s="1"/>
  <c r="N149" i="6"/>
  <c r="O149" i="6" s="1"/>
  <c r="N148" i="6"/>
  <c r="O148" i="6" s="1"/>
  <c r="N147" i="6"/>
  <c r="O147" i="6" s="1"/>
  <c r="N146" i="6"/>
  <c r="O146" i="6" s="1"/>
  <c r="N145" i="6"/>
  <c r="O145" i="6" s="1"/>
  <c r="N144" i="6"/>
  <c r="O144" i="6" s="1"/>
  <c r="N143" i="6"/>
  <c r="O143" i="6" s="1"/>
  <c r="N142" i="6"/>
  <c r="O142" i="6" s="1"/>
  <c r="N141" i="6"/>
  <c r="O141" i="6" s="1"/>
  <c r="N140" i="6"/>
  <c r="O140" i="6" s="1"/>
  <c r="N139" i="6"/>
  <c r="O139" i="6" s="1"/>
  <c r="N138" i="6"/>
  <c r="O138" i="6" s="1"/>
  <c r="N134" i="6"/>
  <c r="O134" i="6" s="1"/>
  <c r="N129" i="6"/>
  <c r="O129" i="6" s="1"/>
  <c r="N128" i="6"/>
  <c r="O128" i="6" s="1"/>
  <c r="N127" i="6"/>
  <c r="O127" i="6" s="1"/>
  <c r="N126" i="6"/>
  <c r="O126" i="6" s="1"/>
  <c r="N125" i="6"/>
  <c r="O125" i="6" s="1"/>
  <c r="N124" i="6"/>
  <c r="O124" i="6" s="1"/>
  <c r="N123" i="6"/>
  <c r="O123" i="6" s="1"/>
  <c r="N122" i="6"/>
  <c r="O122" i="6" s="1"/>
  <c r="N121" i="6"/>
  <c r="O121" i="6" s="1"/>
  <c r="N120" i="6"/>
  <c r="O120" i="6" s="1"/>
  <c r="N119" i="6"/>
  <c r="O119" i="6" s="1"/>
  <c r="N113" i="6"/>
  <c r="O113" i="6" s="1"/>
  <c r="N112" i="6"/>
  <c r="O112" i="6" s="1"/>
  <c r="N111" i="6"/>
  <c r="O111" i="6" s="1"/>
  <c r="N110" i="6"/>
  <c r="O110" i="6" s="1"/>
  <c r="N109" i="6"/>
  <c r="O109" i="6" s="1"/>
  <c r="N108" i="6"/>
  <c r="O108" i="6" s="1"/>
  <c r="N107" i="6"/>
  <c r="O107" i="6" s="1"/>
  <c r="N106" i="6"/>
  <c r="O106" i="6" s="1"/>
  <c r="N105" i="6"/>
  <c r="O105" i="6" s="1"/>
  <c r="N104" i="6"/>
  <c r="O104" i="6" s="1"/>
  <c r="N103" i="6"/>
  <c r="O103" i="6" s="1"/>
  <c r="N102" i="6"/>
  <c r="O102" i="6" s="1"/>
  <c r="N101" i="6"/>
  <c r="O101" i="6" s="1"/>
  <c r="N100" i="6"/>
  <c r="O100" i="6" s="1"/>
  <c r="N99" i="6"/>
  <c r="O99" i="6" s="1"/>
  <c r="N98" i="6"/>
  <c r="O98" i="6" s="1"/>
  <c r="N97" i="6"/>
  <c r="O97" i="6" s="1"/>
  <c r="N96" i="6"/>
  <c r="O96" i="6" s="1"/>
  <c r="N95" i="6"/>
  <c r="O95" i="6" s="1"/>
  <c r="N94" i="6"/>
  <c r="O94" i="6" s="1"/>
  <c r="N93" i="6"/>
  <c r="O93" i="6" s="1"/>
  <c r="N92" i="6"/>
  <c r="O92" i="6" s="1"/>
  <c r="N91" i="6"/>
  <c r="O91" i="6" s="1"/>
  <c r="N90" i="6"/>
  <c r="O90" i="6" s="1"/>
  <c r="N89" i="6"/>
  <c r="O89" i="6" s="1"/>
  <c r="N88" i="6"/>
  <c r="O88" i="6" s="1"/>
  <c r="N87" i="6"/>
  <c r="O87" i="6" s="1"/>
  <c r="N83" i="6"/>
  <c r="O83" i="6" s="1"/>
  <c r="N82" i="6"/>
  <c r="O82" i="6" s="1"/>
  <c r="N81" i="6"/>
  <c r="O81" i="6" s="1"/>
  <c r="N80" i="6"/>
  <c r="O80" i="6" s="1"/>
  <c r="N79" i="6"/>
  <c r="O79" i="6" s="1"/>
  <c r="N78" i="6"/>
  <c r="O78" i="6" s="1"/>
  <c r="N77" i="6"/>
  <c r="O77" i="6" s="1"/>
  <c r="N76" i="6"/>
  <c r="O76" i="6" s="1"/>
  <c r="N75" i="6"/>
  <c r="O75" i="6" s="1"/>
  <c r="N74" i="6"/>
  <c r="O74" i="6" s="1"/>
  <c r="N73" i="6"/>
  <c r="O73" i="6" s="1"/>
  <c r="N33" i="6"/>
  <c r="O33" i="6" s="1"/>
  <c r="N34" i="6"/>
  <c r="O34" i="6" s="1"/>
  <c r="N35" i="6"/>
  <c r="O35" i="6" s="1"/>
  <c r="N36" i="6"/>
  <c r="O36" i="6" s="1"/>
  <c r="N37" i="6"/>
  <c r="O37" i="6" s="1"/>
  <c r="N38" i="6"/>
  <c r="O38" i="6" s="1"/>
  <c r="N39" i="6"/>
  <c r="O39" i="6" s="1"/>
  <c r="N40" i="6"/>
  <c r="O40" i="6" s="1"/>
  <c r="N41" i="6"/>
  <c r="O41" i="6" s="1"/>
  <c r="N42" i="6"/>
  <c r="O42" i="6" s="1"/>
  <c r="N43" i="6"/>
  <c r="O43" i="6" s="1"/>
  <c r="N44" i="6"/>
  <c r="O44" i="6" s="1"/>
  <c r="N45" i="6"/>
  <c r="O45" i="6" s="1"/>
  <c r="N46" i="6"/>
  <c r="O46" i="6" s="1"/>
  <c r="N47" i="6"/>
  <c r="O47" i="6" s="1"/>
  <c r="N48" i="6"/>
  <c r="O48" i="6" s="1"/>
  <c r="N49" i="6"/>
  <c r="O49" i="6" s="1"/>
  <c r="N50" i="6"/>
  <c r="O50" i="6" s="1"/>
  <c r="N51" i="6"/>
  <c r="O51" i="6" s="1"/>
  <c r="N52" i="6"/>
  <c r="O52" i="6" s="1"/>
  <c r="N53" i="6"/>
  <c r="O53" i="6" s="1"/>
  <c r="N54" i="6"/>
  <c r="O54" i="6" s="1"/>
  <c r="N55" i="6"/>
  <c r="O55" i="6" s="1"/>
  <c r="N56" i="6"/>
  <c r="O56" i="6" s="1"/>
  <c r="N57" i="6"/>
  <c r="O57" i="6" s="1"/>
  <c r="N58" i="6"/>
  <c r="O58" i="6" s="1"/>
  <c r="N59" i="6"/>
  <c r="O59" i="6" s="1"/>
  <c r="N60" i="6"/>
  <c r="O60" i="6" s="1"/>
  <c r="N61" i="6"/>
  <c r="O61" i="6" s="1"/>
  <c r="N62" i="6"/>
  <c r="O62" i="6" s="1"/>
  <c r="N63" i="6"/>
  <c r="O63" i="6" s="1"/>
  <c r="N66" i="6"/>
  <c r="O66" i="6" s="1"/>
  <c r="N32" i="6"/>
  <c r="O32" i="6" s="1"/>
  <c r="N27" i="6"/>
  <c r="O27" i="6" s="1"/>
  <c r="N26" i="6"/>
  <c r="O26" i="6" s="1"/>
  <c r="N25" i="6"/>
  <c r="O25" i="6" s="1"/>
  <c r="N24" i="6"/>
  <c r="O24" i="6" s="1"/>
  <c r="N23" i="6"/>
  <c r="O23" i="6" s="1"/>
  <c r="N20" i="6"/>
  <c r="O20" i="6" s="1"/>
  <c r="N19" i="6"/>
  <c r="O19" i="6" s="1"/>
  <c r="N18" i="6"/>
  <c r="O18" i="6" s="1"/>
  <c r="N17" i="6"/>
  <c r="O17" i="6" s="1"/>
  <c r="N16" i="6"/>
  <c r="O16" i="6" s="1"/>
  <c r="N15" i="6"/>
  <c r="O15" i="6" s="1"/>
  <c r="N14" i="6"/>
  <c r="O14" i="6" s="1"/>
  <c r="N13" i="6"/>
  <c r="O13" i="6" s="1"/>
  <c r="N12" i="6"/>
  <c r="O12" i="6" s="1"/>
  <c r="N11" i="6"/>
  <c r="O11" i="6" s="1"/>
  <c r="N10" i="6"/>
  <c r="O10" i="6" s="1"/>
  <c r="N9" i="6"/>
  <c r="O9" i="6" s="1"/>
  <c r="N8" i="6"/>
  <c r="O8" i="6" s="1"/>
  <c r="N7" i="6"/>
  <c r="O7" i="6" s="1"/>
  <c r="N4" i="6"/>
  <c r="O4" i="6" s="1"/>
  <c r="N3" i="6"/>
  <c r="O3" i="6" s="1"/>
  <c r="N2" i="6"/>
  <c r="O2" i="6" s="1"/>
  <c r="M114" i="6"/>
  <c r="R9" i="5"/>
  <c r="R8" i="5"/>
  <c r="R4" i="5"/>
  <c r="D100" i="3"/>
  <c r="F100" i="3"/>
  <c r="F5" i="5" s="1"/>
  <c r="L99" i="3"/>
  <c r="AC209" i="2"/>
  <c r="Z209" i="2"/>
  <c r="Y209" i="2"/>
  <c r="S209" i="2"/>
  <c r="W209" i="2" s="1"/>
  <c r="I336" i="6"/>
  <c r="D96" i="3"/>
  <c r="V196" i="2" l="1"/>
  <c r="W196" i="2"/>
  <c r="F96" i="3"/>
  <c r="O5" i="5" s="1"/>
  <c r="C99" i="3"/>
  <c r="C100" i="3" s="1"/>
  <c r="F6" i="5"/>
  <c r="T196" i="2"/>
  <c r="U196" i="2" s="1"/>
  <c r="X196" i="2"/>
  <c r="AA40" i="2"/>
  <c r="AB40" i="2" s="1"/>
  <c r="AD40" i="2" s="1"/>
  <c r="R336" i="6"/>
  <c r="K336" i="6"/>
  <c r="V209" i="2"/>
  <c r="T209" i="2"/>
  <c r="U209" i="2" s="1"/>
  <c r="X209" i="2"/>
  <c r="G327" i="6"/>
  <c r="G328" i="6" s="1"/>
  <c r="G329" i="6" s="1"/>
  <c r="P329" i="6" s="1"/>
  <c r="L92" i="3"/>
  <c r="AJ91" i="3"/>
  <c r="L91" i="3"/>
  <c r="L103" i="3"/>
  <c r="Z193" i="2"/>
  <c r="Y193" i="2"/>
  <c r="L94" i="3"/>
  <c r="P328" i="6" l="1"/>
  <c r="P327" i="6"/>
  <c r="AA196" i="2"/>
  <c r="AB196" i="2" s="1"/>
  <c r="AD196" i="2" s="1"/>
  <c r="Q194" i="2"/>
  <c r="S194" i="2" s="1"/>
  <c r="W194" i="2" s="1"/>
  <c r="S204" i="2"/>
  <c r="W204" i="2" s="1"/>
  <c r="Q193" i="2"/>
  <c r="S193" i="2" s="1"/>
  <c r="W193" i="2" s="1"/>
  <c r="Q195" i="2"/>
  <c r="S195" i="2" s="1"/>
  <c r="W195" i="2" s="1"/>
  <c r="S205" i="2"/>
  <c r="W205" i="2" s="1"/>
  <c r="S203" i="2"/>
  <c r="W203" i="2" s="1"/>
  <c r="AA209" i="2"/>
  <c r="AB209" i="2" s="1"/>
  <c r="AD209" i="2" s="1"/>
  <c r="G99" i="3" s="1"/>
  <c r="AJ5" i="3"/>
  <c r="D26" i="5"/>
  <c r="V193" i="2" l="1"/>
  <c r="X193" i="2"/>
  <c r="T193" i="2"/>
  <c r="U193" i="2" s="1"/>
  <c r="X203" i="2"/>
  <c r="V203" i="2"/>
  <c r="T203" i="2"/>
  <c r="U203" i="2" s="1"/>
  <c r="V205" i="2"/>
  <c r="T205" i="2"/>
  <c r="U205" i="2" s="1"/>
  <c r="X205" i="2"/>
  <c r="X204" i="2"/>
  <c r="V204" i="2"/>
  <c r="T204" i="2"/>
  <c r="U204" i="2" s="1"/>
  <c r="V195" i="2"/>
  <c r="T195" i="2"/>
  <c r="U195" i="2" s="1"/>
  <c r="X195" i="2"/>
  <c r="T194" i="2"/>
  <c r="U194" i="2" s="1"/>
  <c r="X194" i="2"/>
  <c r="V194" i="2"/>
  <c r="J99" i="3"/>
  <c r="Y99" i="3"/>
  <c r="AC99" i="3" s="1"/>
  <c r="O132" i="5"/>
  <c r="F132" i="5"/>
  <c r="O135" i="5"/>
  <c r="F135" i="5"/>
  <c r="I173" i="6"/>
  <c r="P173" i="6" s="1"/>
  <c r="AJ103" i="3"/>
  <c r="AJ87" i="3"/>
  <c r="AJ72" i="3"/>
  <c r="AJ75" i="3"/>
  <c r="AJ74" i="3"/>
  <c r="AJ73" i="3"/>
  <c r="AJ66" i="3"/>
  <c r="AJ60" i="3"/>
  <c r="AJ59" i="3"/>
  <c r="AJ58" i="3"/>
  <c r="BB53" i="3"/>
  <c r="AJ50" i="3"/>
  <c r="AJ47" i="3"/>
  <c r="AJ46" i="3"/>
  <c r="AJ45" i="3"/>
  <c r="AJ44" i="3"/>
  <c r="AJ43" i="3"/>
  <c r="AJ42" i="3"/>
  <c r="AJ41" i="3"/>
  <c r="AJ40" i="3"/>
  <c r="AJ36" i="3"/>
  <c r="AJ33" i="3"/>
  <c r="AJ32" i="3"/>
  <c r="AJ31" i="3"/>
  <c r="AJ30" i="3"/>
  <c r="AJ29" i="3"/>
  <c r="AJ28" i="3"/>
  <c r="AJ25" i="3"/>
  <c r="AJ6" i="3"/>
  <c r="AJ7" i="3"/>
  <c r="AJ8" i="3"/>
  <c r="AJ9" i="3"/>
  <c r="AJ10" i="3"/>
  <c r="AJ11" i="3"/>
  <c r="AJ12" i="3"/>
  <c r="AJ13" i="3"/>
  <c r="M10" i="7"/>
  <c r="G10" i="7"/>
  <c r="F10" i="7"/>
  <c r="J10" i="7" s="1"/>
  <c r="S31" i="2"/>
  <c r="W31" i="2" s="1"/>
  <c r="P30" i="2"/>
  <c r="AC30" i="2"/>
  <c r="AC31" i="2" s="1"/>
  <c r="AC36" i="2" s="1"/>
  <c r="AD36" i="2" s="1"/>
  <c r="F45" i="3" l="1"/>
  <c r="F44" i="3"/>
  <c r="F10" i="3"/>
  <c r="F60" i="3"/>
  <c r="F43" i="3"/>
  <c r="F29" i="3"/>
  <c r="F12" i="3"/>
  <c r="F6" i="3"/>
  <c r="F13" i="3"/>
  <c r="F11" i="3"/>
  <c r="F59" i="3"/>
  <c r="F5" i="3"/>
  <c r="F28" i="3"/>
  <c r="F42" i="3"/>
  <c r="F58" i="3"/>
  <c r="F41" i="3"/>
  <c r="F50" i="3"/>
  <c r="F40" i="3"/>
  <c r="F7" i="3"/>
  <c r="F33" i="3"/>
  <c r="F8" i="3"/>
  <c r="F32" i="3"/>
  <c r="F31" i="3"/>
  <c r="F47" i="3"/>
  <c r="F46" i="3"/>
  <c r="F30" i="3"/>
  <c r="F9" i="3"/>
  <c r="Q30" i="2"/>
  <c r="S30" i="2" s="1"/>
  <c r="W30" i="2" s="1"/>
  <c r="AC35" i="2"/>
  <c r="AD35" i="2" s="1"/>
  <c r="AC32" i="2"/>
  <c r="Z30" i="2"/>
  <c r="Y30" i="2"/>
  <c r="AA195" i="2"/>
  <c r="AB195" i="2" s="1"/>
  <c r="AD195" i="2" s="1"/>
  <c r="AA203" i="2"/>
  <c r="AB203" i="2" s="1"/>
  <c r="AD203" i="2" s="1"/>
  <c r="G91" i="3" s="1"/>
  <c r="AA205" i="2"/>
  <c r="AB205" i="2" s="1"/>
  <c r="AD205" i="2" s="1"/>
  <c r="G93" i="3" s="1"/>
  <c r="AA193" i="2"/>
  <c r="AB193" i="2" s="1"/>
  <c r="AD193" i="2" s="1"/>
  <c r="AA194" i="2"/>
  <c r="AB194" i="2" s="1"/>
  <c r="AD194" i="2" s="1"/>
  <c r="AA204" i="2"/>
  <c r="AB204" i="2" s="1"/>
  <c r="AJ105" i="3"/>
  <c r="K10" i="7"/>
  <c r="N10" i="7"/>
  <c r="V31" i="2"/>
  <c r="T31" i="2"/>
  <c r="U31" i="2" s="1"/>
  <c r="X31" i="2"/>
  <c r="AD32" i="2" l="1"/>
  <c r="AC37" i="2"/>
  <c r="AD37" i="2" s="1"/>
  <c r="O10" i="7"/>
  <c r="AB10" i="7" s="1"/>
  <c r="X30" i="2"/>
  <c r="T30" i="2"/>
  <c r="U30" i="2" s="1"/>
  <c r="V30" i="2"/>
  <c r="AA31" i="2"/>
  <c r="AB31" i="2" s="1"/>
  <c r="AD31" i="2" s="1"/>
  <c r="AA30" i="2" l="1"/>
  <c r="AB30" i="2" s="1"/>
  <c r="AD30" i="2" s="1"/>
  <c r="Q181" i="2"/>
  <c r="S181" i="2" s="1"/>
  <c r="W181" i="2" s="1"/>
  <c r="Q176" i="2"/>
  <c r="S176" i="2" s="1"/>
  <c r="W176" i="2" s="1"/>
  <c r="Q166" i="2"/>
  <c r="S166" i="2" s="1"/>
  <c r="W166" i="2" s="1"/>
  <c r="Q165" i="2"/>
  <c r="S165" i="2" s="1"/>
  <c r="W165" i="2" s="1"/>
  <c r="Q163" i="2"/>
  <c r="S163" i="2" s="1"/>
  <c r="W163" i="2" s="1"/>
  <c r="Q162" i="2"/>
  <c r="S162" i="2" s="1"/>
  <c r="W162" i="2" s="1"/>
  <c r="Q142" i="2"/>
  <c r="S142" i="2" s="1"/>
  <c r="W142" i="2" s="1"/>
  <c r="Q134" i="2"/>
  <c r="S134" i="2" s="1"/>
  <c r="W134" i="2" s="1"/>
  <c r="S129" i="2"/>
  <c r="W129" i="2" s="1"/>
  <c r="S99" i="2"/>
  <c r="W99" i="2" s="1"/>
  <c r="Q92" i="2"/>
  <c r="S92" i="2" s="1"/>
  <c r="W92" i="2" s="1"/>
  <c r="Q91" i="2"/>
  <c r="S91" i="2" s="1"/>
  <c r="W91" i="2" s="1"/>
  <c r="Q70" i="2"/>
  <c r="S70" i="2" s="1"/>
  <c r="W70" i="2" s="1"/>
  <c r="Q62" i="2"/>
  <c r="S62" i="2" s="1"/>
  <c r="W62" i="2" s="1"/>
  <c r="Q45" i="2"/>
  <c r="S45" i="2" s="1"/>
  <c r="W45" i="2" s="1"/>
  <c r="Q44" i="2"/>
  <c r="S44" i="2" s="1"/>
  <c r="W44" i="2" s="1"/>
  <c r="Q43" i="2"/>
  <c r="S43" i="2" s="1"/>
  <c r="W43" i="2" s="1"/>
  <c r="Q42" i="2"/>
  <c r="S42" i="2" s="1"/>
  <c r="W42" i="2" s="1"/>
  <c r="Q20" i="2"/>
  <c r="S20" i="2" s="1"/>
  <c r="W20" i="2" s="1"/>
  <c r="Q6" i="2"/>
  <c r="S6" i="2" s="1"/>
  <c r="W6" i="2" s="1"/>
  <c r="AC190" i="2"/>
  <c r="AC191" i="2" s="1"/>
  <c r="AD191" i="2" s="1"/>
  <c r="Z190" i="2"/>
  <c r="Y190" i="2"/>
  <c r="AC183" i="2"/>
  <c r="AC184" i="2" s="1"/>
  <c r="AC180" i="2"/>
  <c r="AC181" i="2" s="1"/>
  <c r="AC177" i="2"/>
  <c r="AC176" i="2"/>
  <c r="AC175" i="2"/>
  <c r="AC56" i="2"/>
  <c r="AC55" i="2"/>
  <c r="AC53" i="2"/>
  <c r="AC52" i="2"/>
  <c r="AC51" i="2"/>
  <c r="AC167" i="2"/>
  <c r="AC166" i="2"/>
  <c r="AC165" i="2"/>
  <c r="AC163" i="2"/>
  <c r="AC162" i="2"/>
  <c r="AC150" i="2"/>
  <c r="Z148" i="2"/>
  <c r="Y148" i="2"/>
  <c r="Z145" i="2"/>
  <c r="Y145" i="2"/>
  <c r="AC139" i="2"/>
  <c r="AC140" i="2" s="1"/>
  <c r="AC141" i="2" s="1"/>
  <c r="AC142" i="2" s="1"/>
  <c r="AC134" i="2"/>
  <c r="AC135" i="2" s="1"/>
  <c r="AC136" i="2" s="1"/>
  <c r="AC129" i="2"/>
  <c r="AC130" i="2" s="1"/>
  <c r="AC123" i="2"/>
  <c r="AC119" i="2"/>
  <c r="AC120" i="2" s="1"/>
  <c r="AD120" i="2" s="1"/>
  <c r="AC111" i="2"/>
  <c r="AC112" i="2" s="1"/>
  <c r="AC113" i="2" s="1"/>
  <c r="AC103" i="2"/>
  <c r="AC98" i="2"/>
  <c r="AC99" i="2" s="1"/>
  <c r="AC100" i="2" s="1"/>
  <c r="AC92" i="2"/>
  <c r="AC91" i="2"/>
  <c r="AC86" i="2"/>
  <c r="AC82" i="2"/>
  <c r="AC83" i="2" s="1"/>
  <c r="AC84" i="2" s="1"/>
  <c r="AC79" i="2"/>
  <c r="AC74" i="2"/>
  <c r="AC75" i="2" s="1"/>
  <c r="AC76" i="2" s="1"/>
  <c r="AC70" i="2"/>
  <c r="AC68" i="2"/>
  <c r="AC65" i="2"/>
  <c r="AC62" i="2"/>
  <c r="AC63" i="2" s="1"/>
  <c r="AC60" i="2"/>
  <c r="AC46" i="2"/>
  <c r="AC45" i="2"/>
  <c r="AC44" i="2"/>
  <c r="AC43" i="2"/>
  <c r="AC42" i="2"/>
  <c r="AC41" i="2"/>
  <c r="AC19" i="2"/>
  <c r="AC20" i="2" s="1"/>
  <c r="AC23" i="2" s="1"/>
  <c r="AC15" i="2"/>
  <c r="AC9" i="2"/>
  <c r="AC10" i="2" s="1"/>
  <c r="AC34" i="2"/>
  <c r="AC6" i="2"/>
  <c r="AC7" i="2" s="1"/>
  <c r="AD7" i="2" s="1"/>
  <c r="S190" i="2"/>
  <c r="W190" i="2" s="1"/>
  <c r="Q184" i="2"/>
  <c r="S184" i="2" s="1"/>
  <c r="W184" i="2" s="1"/>
  <c r="Q183" i="2"/>
  <c r="S183" i="2" s="1"/>
  <c r="W183" i="2" s="1"/>
  <c r="Q177" i="2"/>
  <c r="S177" i="2" s="1"/>
  <c r="W177" i="2" s="1"/>
  <c r="Q175" i="2"/>
  <c r="S175" i="2" s="1"/>
  <c r="W175" i="2" s="1"/>
  <c r="Q56" i="2"/>
  <c r="S56" i="2" s="1"/>
  <c r="W56" i="2" s="1"/>
  <c r="Q55" i="2"/>
  <c r="S55" i="2" s="1"/>
  <c r="W55" i="2" s="1"/>
  <c r="Q53" i="2"/>
  <c r="S53" i="2" s="1"/>
  <c r="W53" i="2" s="1"/>
  <c r="Q52" i="2"/>
  <c r="S52" i="2" s="1"/>
  <c r="W52" i="2" s="1"/>
  <c r="Q51" i="2"/>
  <c r="S51" i="2" s="1"/>
  <c r="W51" i="2" s="1"/>
  <c r="Q167" i="2"/>
  <c r="S167" i="2" s="1"/>
  <c r="W167" i="2" s="1"/>
  <c r="S153" i="2"/>
  <c r="W153" i="2" s="1"/>
  <c r="S150" i="2"/>
  <c r="W150" i="2" s="1"/>
  <c r="S148" i="2"/>
  <c r="W148" i="2" s="1"/>
  <c r="S145" i="2"/>
  <c r="W145" i="2" s="1"/>
  <c r="Q125" i="2"/>
  <c r="S125" i="2" s="1"/>
  <c r="W125" i="2" s="1"/>
  <c r="Q124" i="2"/>
  <c r="S124" i="2" s="1"/>
  <c r="W124" i="2" s="1"/>
  <c r="Q123" i="2"/>
  <c r="S123" i="2" s="1"/>
  <c r="W123" i="2" s="1"/>
  <c r="S119" i="2"/>
  <c r="W119" i="2" s="1"/>
  <c r="Q113" i="2"/>
  <c r="S113" i="2" s="1"/>
  <c r="W113" i="2" s="1"/>
  <c r="Q112" i="2"/>
  <c r="S112" i="2" s="1"/>
  <c r="W112" i="2" s="1"/>
  <c r="Q111" i="2"/>
  <c r="S111" i="2" s="1"/>
  <c r="W111" i="2" s="1"/>
  <c r="S103" i="2"/>
  <c r="W103" i="2" s="1"/>
  <c r="Q88" i="2"/>
  <c r="S88" i="2" s="1"/>
  <c r="W88" i="2" s="1"/>
  <c r="Q86" i="2"/>
  <c r="S86" i="2" s="1"/>
  <c r="W86" i="2" s="1"/>
  <c r="Q84" i="2"/>
  <c r="S84" i="2" s="1"/>
  <c r="W84" i="2" s="1"/>
  <c r="Q83" i="2"/>
  <c r="S83" i="2" s="1"/>
  <c r="W83" i="2" s="1"/>
  <c r="Q82" i="2"/>
  <c r="S82" i="2" s="1"/>
  <c r="W82" i="2" s="1"/>
  <c r="Q79" i="2"/>
  <c r="S79" i="2" s="1"/>
  <c r="W79" i="2" s="1"/>
  <c r="Q76" i="2"/>
  <c r="S76" i="2" s="1"/>
  <c r="W76" i="2" s="1"/>
  <c r="Q75" i="2"/>
  <c r="S75" i="2" s="1"/>
  <c r="W75" i="2" s="1"/>
  <c r="Q74" i="2"/>
  <c r="S74" i="2" s="1"/>
  <c r="W74" i="2" s="1"/>
  <c r="Q68" i="2"/>
  <c r="S68" i="2" s="1"/>
  <c r="W68" i="2" s="1"/>
  <c r="Q65" i="2"/>
  <c r="S65" i="2" s="1"/>
  <c r="W65" i="2" s="1"/>
  <c r="Q63" i="2"/>
  <c r="S63" i="2" s="1"/>
  <c r="W63" i="2" s="1"/>
  <c r="Q60" i="2"/>
  <c r="S60" i="2" s="1"/>
  <c r="W60" i="2" s="1"/>
  <c r="S107" i="2"/>
  <c r="W107" i="2" s="1"/>
  <c r="Q46" i="2"/>
  <c r="S46" i="2" s="1"/>
  <c r="W46" i="2" s="1"/>
  <c r="Q41" i="2"/>
  <c r="S41" i="2" s="1"/>
  <c r="W41" i="2" s="1"/>
  <c r="S17" i="2"/>
  <c r="W17" i="2" s="1"/>
  <c r="S15" i="2"/>
  <c r="W15" i="2" s="1"/>
  <c r="S9" i="2"/>
  <c r="W9" i="2" s="1"/>
  <c r="S10" i="2"/>
  <c r="W10" i="2" s="1"/>
  <c r="S34" i="2"/>
  <c r="W34" i="2" s="1"/>
  <c r="Q3" i="2"/>
  <c r="S3" i="2" s="1"/>
  <c r="W3" i="2" s="1"/>
  <c r="Q4" i="2"/>
  <c r="S4" i="2" s="1"/>
  <c r="W4" i="2" s="1"/>
  <c r="Q2" i="2"/>
  <c r="S2" i="2" s="1"/>
  <c r="W2" i="2" s="1"/>
  <c r="AC2" i="2"/>
  <c r="AC3" i="2" s="1"/>
  <c r="AC4" i="2" s="1"/>
  <c r="Q135" i="5"/>
  <c r="P135" i="5"/>
  <c r="N135" i="5"/>
  <c r="M135" i="5"/>
  <c r="L135" i="5"/>
  <c r="K135" i="5"/>
  <c r="J135" i="5"/>
  <c r="H135" i="5"/>
  <c r="G135" i="5"/>
  <c r="Q132" i="5"/>
  <c r="P132" i="5"/>
  <c r="N132" i="5"/>
  <c r="M132" i="5"/>
  <c r="L132" i="5"/>
  <c r="K132" i="5"/>
  <c r="J132" i="5"/>
  <c r="H132" i="5"/>
  <c r="G132" i="5"/>
  <c r="M127" i="5"/>
  <c r="Q127" i="5"/>
  <c r="E127" i="5"/>
  <c r="R12" i="5"/>
  <c r="R15" i="5"/>
  <c r="R16" i="5"/>
  <c r="R17" i="5"/>
  <c r="R13" i="5"/>
  <c r="R14" i="5"/>
  <c r="S9" i="5"/>
  <c r="S8" i="5"/>
  <c r="F104" i="3"/>
  <c r="P5" i="5" s="1"/>
  <c r="G5" i="5"/>
  <c r="F26" i="3"/>
  <c r="D45" i="3"/>
  <c r="D51" i="3"/>
  <c r="AC88" i="2" l="1"/>
  <c r="AC87" i="2"/>
  <c r="AD87" i="2" s="1"/>
  <c r="AC17" i="2"/>
  <c r="AC16" i="2"/>
  <c r="AD16" i="2" s="1"/>
  <c r="AC153" i="2"/>
  <c r="AC151" i="2"/>
  <c r="AC131" i="2"/>
  <c r="AD131" i="2" s="1"/>
  <c r="AD130" i="2"/>
  <c r="AC124" i="2"/>
  <c r="AC125" i="2" s="1"/>
  <c r="AC101" i="2"/>
  <c r="AD101" i="2" s="1"/>
  <c r="AD100" i="2"/>
  <c r="AD23" i="2"/>
  <c r="AC27" i="2"/>
  <c r="AD27" i="2" s="1"/>
  <c r="AC12" i="2"/>
  <c r="AD12" i="2" s="1"/>
  <c r="AC11" i="2"/>
  <c r="AD11" i="2" s="1"/>
  <c r="F87" i="3"/>
  <c r="F63" i="3"/>
  <c r="F33" i="5"/>
  <c r="F26" i="5"/>
  <c r="N33" i="5"/>
  <c r="O26" i="5"/>
  <c r="O33" i="5"/>
  <c r="T3" i="2"/>
  <c r="U3" i="2" s="1"/>
  <c r="AA3" i="2" s="1"/>
  <c r="X15" i="2"/>
  <c r="X75" i="2"/>
  <c r="X83" i="2"/>
  <c r="X113" i="2"/>
  <c r="V53" i="2"/>
  <c r="X86" i="2"/>
  <c r="V56" i="2"/>
  <c r="X165" i="2"/>
  <c r="X62" i="2"/>
  <c r="V74" i="2"/>
  <c r="X9" i="2"/>
  <c r="X124" i="2"/>
  <c r="V129" i="2"/>
  <c r="X176" i="2"/>
  <c r="X153" i="2"/>
  <c r="X42" i="2"/>
  <c r="V181" i="2"/>
  <c r="V112" i="2"/>
  <c r="V2" i="2"/>
  <c r="X111" i="2"/>
  <c r="X119" i="2"/>
  <c r="V51" i="2"/>
  <c r="X43" i="2"/>
  <c r="Q180" i="2"/>
  <c r="S180" i="2" s="1"/>
  <c r="W180" i="2" s="1"/>
  <c r="Q141" i="2"/>
  <c r="S141" i="2" s="1"/>
  <c r="Q140" i="2"/>
  <c r="S140" i="2" s="1"/>
  <c r="W140" i="2" s="1"/>
  <c r="Q139" i="2"/>
  <c r="S139" i="2" s="1"/>
  <c r="Q136" i="2"/>
  <c r="S136" i="2" s="1"/>
  <c r="W136" i="2" s="1"/>
  <c r="Q133" i="2"/>
  <c r="S133" i="2" s="1"/>
  <c r="W133" i="2" s="1"/>
  <c r="Q135" i="2"/>
  <c r="S135" i="2" s="1"/>
  <c r="S98" i="2"/>
  <c r="W98" i="2" s="1"/>
  <c r="Q19" i="2"/>
  <c r="S19" i="2" s="1"/>
  <c r="W19" i="2" s="1"/>
  <c r="V41" i="2"/>
  <c r="X41" i="2"/>
  <c r="T41" i="2"/>
  <c r="U41" i="2" s="1"/>
  <c r="V91" i="2"/>
  <c r="V190" i="2"/>
  <c r="T190" i="2"/>
  <c r="U190" i="2" s="1"/>
  <c r="V46" i="2"/>
  <c r="X46" i="2"/>
  <c r="T46" i="2"/>
  <c r="U46" i="2" s="1"/>
  <c r="V107" i="2"/>
  <c r="X107" i="2"/>
  <c r="T107" i="2"/>
  <c r="U107" i="2" s="1"/>
  <c r="V68" i="2"/>
  <c r="X68" i="2"/>
  <c r="V79" i="2"/>
  <c r="V163" i="2"/>
  <c r="X163" i="2"/>
  <c r="T163" i="2"/>
  <c r="U163" i="2" s="1"/>
  <c r="V175" i="2"/>
  <c r="V44" i="2"/>
  <c r="X44" i="2"/>
  <c r="T44" i="2"/>
  <c r="U44" i="2" s="1"/>
  <c r="V60" i="2"/>
  <c r="T60" i="2"/>
  <c r="U60" i="2" s="1"/>
  <c r="V82" i="2"/>
  <c r="V99" i="2"/>
  <c r="X99" i="2"/>
  <c r="X145" i="2"/>
  <c r="T145" i="2"/>
  <c r="U145" i="2" s="1"/>
  <c r="V167" i="2"/>
  <c r="T167" i="2"/>
  <c r="U167" i="2" s="1"/>
  <c r="V162" i="2"/>
  <c r="T162" i="2"/>
  <c r="U162" i="2" s="1"/>
  <c r="X162" i="2"/>
  <c r="V177" i="2"/>
  <c r="V70" i="2"/>
  <c r="T70" i="2"/>
  <c r="U70" i="2" s="1"/>
  <c r="V134" i="2"/>
  <c r="X134" i="2"/>
  <c r="T134" i="2"/>
  <c r="U134" i="2" s="1"/>
  <c r="AA134" i="2" s="1"/>
  <c r="V6" i="2"/>
  <c r="T6" i="2"/>
  <c r="U6" i="2" s="1"/>
  <c r="X6" i="2"/>
  <c r="V103" i="2"/>
  <c r="T103" i="2"/>
  <c r="U103" i="2" s="1"/>
  <c r="V142" i="2"/>
  <c r="V148" i="2"/>
  <c r="X148" i="2"/>
  <c r="V92" i="2"/>
  <c r="V34" i="2"/>
  <c r="T34" i="2"/>
  <c r="U34" i="2" s="1"/>
  <c r="V17" i="2"/>
  <c r="T17" i="2"/>
  <c r="U17" i="2" s="1"/>
  <c r="V63" i="2"/>
  <c r="T63" i="2"/>
  <c r="U63" i="2" s="1"/>
  <c r="V76" i="2"/>
  <c r="T76" i="2"/>
  <c r="U76" i="2" s="1"/>
  <c r="V84" i="2"/>
  <c r="V125" i="2"/>
  <c r="T125" i="2"/>
  <c r="U125" i="2" s="1"/>
  <c r="V150" i="2"/>
  <c r="V166" i="2"/>
  <c r="X166" i="2"/>
  <c r="T166" i="2"/>
  <c r="U166" i="2" s="1"/>
  <c r="X52" i="2"/>
  <c r="V52" i="2"/>
  <c r="T10" i="2"/>
  <c r="U10" i="2" s="1"/>
  <c r="V10" i="2"/>
  <c r="V65" i="2"/>
  <c r="V183" i="2"/>
  <c r="V20" i="2"/>
  <c r="T20" i="2"/>
  <c r="U20" i="2" s="1"/>
  <c r="V88" i="2"/>
  <c r="V123" i="2"/>
  <c r="T123" i="2"/>
  <c r="U123" i="2" s="1"/>
  <c r="X123" i="2"/>
  <c r="X55" i="2"/>
  <c r="V55" i="2"/>
  <c r="V184" i="2"/>
  <c r="X184" i="2"/>
  <c r="T184" i="2"/>
  <c r="U184" i="2" s="1"/>
  <c r="T74" i="2"/>
  <c r="U74" i="2" s="1"/>
  <c r="T112" i="2"/>
  <c r="U112" i="2" s="1"/>
  <c r="T181" i="2"/>
  <c r="U181" i="2" s="1"/>
  <c r="X3" i="2"/>
  <c r="V4" i="2"/>
  <c r="X74" i="2"/>
  <c r="X112" i="2"/>
  <c r="T4" i="2"/>
  <c r="U4" i="2" s="1"/>
  <c r="X190" i="2"/>
  <c r="X183" i="2"/>
  <c r="T183" i="2"/>
  <c r="U183" i="2" s="1"/>
  <c r="X181" i="2"/>
  <c r="X175" i="2"/>
  <c r="T176" i="2"/>
  <c r="U176" i="2" s="1"/>
  <c r="X177" i="2"/>
  <c r="V176" i="2"/>
  <c r="T175" i="2"/>
  <c r="U175" i="2" s="1"/>
  <c r="T177" i="2"/>
  <c r="U177" i="2" s="1"/>
  <c r="X51" i="2"/>
  <c r="T52" i="2"/>
  <c r="U52" i="2" s="1"/>
  <c r="X53" i="2"/>
  <c r="T55" i="2"/>
  <c r="U55" i="2" s="1"/>
  <c r="X56" i="2"/>
  <c r="T51" i="2"/>
  <c r="U51" i="2" s="1"/>
  <c r="T53" i="2"/>
  <c r="U53" i="2" s="1"/>
  <c r="T56" i="2"/>
  <c r="U56" i="2" s="1"/>
  <c r="T165" i="2"/>
  <c r="U165" i="2" s="1"/>
  <c r="X167" i="2"/>
  <c r="V165" i="2"/>
  <c r="X150" i="2"/>
  <c r="T153" i="2"/>
  <c r="U153" i="2" s="1"/>
  <c r="V153" i="2"/>
  <c r="T150" i="2"/>
  <c r="U150" i="2" s="1"/>
  <c r="V145" i="2"/>
  <c r="T148" i="2"/>
  <c r="U148" i="2" s="1"/>
  <c r="X142" i="2"/>
  <c r="T142" i="2"/>
  <c r="U142" i="2" s="1"/>
  <c r="X129" i="2"/>
  <c r="T129" i="2"/>
  <c r="U129" i="2" s="1"/>
  <c r="T124" i="2"/>
  <c r="U124" i="2" s="1"/>
  <c r="X125" i="2"/>
  <c r="V124" i="2"/>
  <c r="T119" i="2"/>
  <c r="U119" i="2" s="1"/>
  <c r="V119" i="2"/>
  <c r="T111" i="2"/>
  <c r="U111" i="2" s="1"/>
  <c r="T113" i="2"/>
  <c r="U113" i="2" s="1"/>
  <c r="V111" i="2"/>
  <c r="V113" i="2"/>
  <c r="X103" i="2"/>
  <c r="T99" i="2"/>
  <c r="U99" i="2" s="1"/>
  <c r="X91" i="2"/>
  <c r="X92" i="2"/>
  <c r="T91" i="2"/>
  <c r="U91" i="2" s="1"/>
  <c r="T92" i="2"/>
  <c r="U92" i="2" s="1"/>
  <c r="T86" i="2"/>
  <c r="U86" i="2" s="1"/>
  <c r="X88" i="2"/>
  <c r="V86" i="2"/>
  <c r="T88" i="2"/>
  <c r="U88" i="2" s="1"/>
  <c r="X82" i="2"/>
  <c r="T83" i="2"/>
  <c r="U83" i="2" s="1"/>
  <c r="X84" i="2"/>
  <c r="V83" i="2"/>
  <c r="T82" i="2"/>
  <c r="U82" i="2" s="1"/>
  <c r="T84" i="2"/>
  <c r="U84" i="2" s="1"/>
  <c r="X79" i="2"/>
  <c r="T79" i="2"/>
  <c r="U79" i="2" s="1"/>
  <c r="T75" i="2"/>
  <c r="U75" i="2" s="1"/>
  <c r="X76" i="2"/>
  <c r="V75" i="2"/>
  <c r="X70" i="2"/>
  <c r="T68" i="2"/>
  <c r="U68" i="2" s="1"/>
  <c r="X65" i="2"/>
  <c r="T65" i="2"/>
  <c r="U65" i="2" s="1"/>
  <c r="T62" i="2"/>
  <c r="U62" i="2" s="1"/>
  <c r="X63" i="2"/>
  <c r="V62" i="2"/>
  <c r="X60" i="2"/>
  <c r="T42" i="2"/>
  <c r="U42" i="2" s="1"/>
  <c r="T43" i="2"/>
  <c r="U43" i="2" s="1"/>
  <c r="T45" i="2"/>
  <c r="U45" i="2" s="1"/>
  <c r="V42" i="2"/>
  <c r="V43" i="2"/>
  <c r="V45" i="2"/>
  <c r="X45" i="2"/>
  <c r="X20" i="2"/>
  <c r="T15" i="2"/>
  <c r="U15" i="2" s="1"/>
  <c r="X17" i="2"/>
  <c r="V15" i="2"/>
  <c r="T9" i="2"/>
  <c r="U9" i="2" s="1"/>
  <c r="X10" i="2"/>
  <c r="V9" i="2"/>
  <c r="X34" i="2"/>
  <c r="T2" i="2"/>
  <c r="U2" i="2" s="1"/>
  <c r="V3" i="2"/>
  <c r="X4" i="2"/>
  <c r="X2" i="2"/>
  <c r="R127" i="5"/>
  <c r="L33" i="5"/>
  <c r="M33" i="5"/>
  <c r="E33" i="5"/>
  <c r="P33" i="5"/>
  <c r="G33" i="5"/>
  <c r="Q33" i="5"/>
  <c r="H33" i="5"/>
  <c r="J33" i="5"/>
  <c r="K33" i="5"/>
  <c r="V135" i="2" l="1"/>
  <c r="W135" i="2"/>
  <c r="V141" i="2"/>
  <c r="W141" i="2"/>
  <c r="T139" i="2"/>
  <c r="U139" i="2" s="1"/>
  <c r="W139" i="2"/>
  <c r="AC152" i="2"/>
  <c r="AD152" i="2" s="1"/>
  <c r="AD151" i="2"/>
  <c r="L87" i="3"/>
  <c r="X133" i="2"/>
  <c r="AD204" i="2"/>
  <c r="G92" i="3" s="1"/>
  <c r="AA76" i="2"/>
  <c r="AB76" i="2" s="1"/>
  <c r="AD76" i="2" s="1"/>
  <c r="AA123" i="2"/>
  <c r="AB123" i="2" s="1"/>
  <c r="AD123" i="2" s="1"/>
  <c r="T141" i="2"/>
  <c r="U141" i="2" s="1"/>
  <c r="L46" i="3"/>
  <c r="AA70" i="2"/>
  <c r="AB70" i="2" s="1"/>
  <c r="AD70" i="2" s="1"/>
  <c r="AA46" i="2"/>
  <c r="AB46" i="2" s="1"/>
  <c r="AD46" i="2" s="1"/>
  <c r="V139" i="2"/>
  <c r="X19" i="2"/>
  <c r="X98" i="2"/>
  <c r="X139" i="2"/>
  <c r="V140" i="2"/>
  <c r="T19" i="2"/>
  <c r="U19" i="2" s="1"/>
  <c r="X141" i="2"/>
  <c r="AA162" i="2"/>
  <c r="AB162" i="2" s="1"/>
  <c r="AD162" i="2" s="1"/>
  <c r="T180" i="2"/>
  <c r="U180" i="2" s="1"/>
  <c r="X135" i="2"/>
  <c r="AA125" i="2"/>
  <c r="AB125" i="2" s="1"/>
  <c r="AD125" i="2" s="1"/>
  <c r="AA166" i="2"/>
  <c r="AB166" i="2" s="1"/>
  <c r="AD166" i="2" s="1"/>
  <c r="AA6" i="2"/>
  <c r="AB6" i="2" s="1"/>
  <c r="AD6" i="2" s="1"/>
  <c r="AA20" i="2"/>
  <c r="AB20" i="2" s="1"/>
  <c r="AD20" i="2" s="1"/>
  <c r="V133" i="2"/>
  <c r="T133" i="2"/>
  <c r="U133" i="2" s="1"/>
  <c r="AA74" i="2"/>
  <c r="AB74" i="2" s="1"/>
  <c r="AD74" i="2" s="1"/>
  <c r="AA41" i="2"/>
  <c r="AB41" i="2" s="1"/>
  <c r="AD41" i="2" s="1"/>
  <c r="AA60" i="2"/>
  <c r="AB60" i="2" s="1"/>
  <c r="AD60" i="2" s="1"/>
  <c r="AA113" i="2"/>
  <c r="AB113" i="2" s="1"/>
  <c r="AD113" i="2" s="1"/>
  <c r="T140" i="2"/>
  <c r="U140" i="2" s="1"/>
  <c r="X140" i="2"/>
  <c r="AA10" i="2"/>
  <c r="AB10" i="2" s="1"/>
  <c r="AD10" i="2" s="1"/>
  <c r="AA63" i="2"/>
  <c r="AB63" i="2" s="1"/>
  <c r="AD63" i="2" s="1"/>
  <c r="AA103" i="2"/>
  <c r="AB103" i="2" s="1"/>
  <c r="AD103" i="2" s="1"/>
  <c r="AA167" i="2"/>
  <c r="AB167" i="2" s="1"/>
  <c r="AD167" i="2" s="1"/>
  <c r="AA34" i="2"/>
  <c r="AB34" i="2" s="1"/>
  <c r="AD34" i="2" s="1"/>
  <c r="AA176" i="2"/>
  <c r="AB176" i="2" s="1"/>
  <c r="AD176" i="2" s="1"/>
  <c r="AA139" i="2"/>
  <c r="AA119" i="2"/>
  <c r="AB119" i="2" s="1"/>
  <c r="AD119" i="2" s="1"/>
  <c r="AA99" i="2"/>
  <c r="AB99" i="2" s="1"/>
  <c r="AD99" i="2" s="1"/>
  <c r="AA44" i="2"/>
  <c r="AB44" i="2" s="1"/>
  <c r="AD44" i="2" s="1"/>
  <c r="AA190" i="2"/>
  <c r="AB190" i="2" s="1"/>
  <c r="AD190" i="2" s="1"/>
  <c r="AA184" i="2"/>
  <c r="AB184" i="2" s="1"/>
  <c r="AD184" i="2" s="1"/>
  <c r="V180" i="2"/>
  <c r="X180" i="2"/>
  <c r="AA55" i="2"/>
  <c r="AB55" i="2" s="1"/>
  <c r="AD55" i="2" s="1"/>
  <c r="AA53" i="2"/>
  <c r="AB53" i="2" s="1"/>
  <c r="AD53" i="2" s="1"/>
  <c r="AA150" i="2"/>
  <c r="AB150" i="2" s="1"/>
  <c r="AD150" i="2" s="1"/>
  <c r="V136" i="2"/>
  <c r="X136" i="2"/>
  <c r="T135" i="2"/>
  <c r="U135" i="2" s="1"/>
  <c r="T136" i="2"/>
  <c r="U136" i="2" s="1"/>
  <c r="V98" i="2"/>
  <c r="T98" i="2"/>
  <c r="U98" i="2" s="1"/>
  <c r="AA84" i="2"/>
  <c r="AB84" i="2" s="1"/>
  <c r="AD84" i="2" s="1"/>
  <c r="AA107" i="2"/>
  <c r="AB107" i="2" s="1"/>
  <c r="AD107" i="2" s="1"/>
  <c r="V19" i="2"/>
  <c r="AA2" i="2"/>
  <c r="AB2" i="2" s="1"/>
  <c r="AD2" i="2" s="1"/>
  <c r="AA43" i="2"/>
  <c r="AB43" i="2" s="1"/>
  <c r="AD43" i="2" s="1"/>
  <c r="AA91" i="2"/>
  <c r="AB91" i="2" s="1"/>
  <c r="AD91" i="2" s="1"/>
  <c r="AA145" i="2"/>
  <c r="AB145" i="2" s="1"/>
  <c r="AD145" i="2" s="1"/>
  <c r="AA17" i="2"/>
  <c r="AB17" i="2" s="1"/>
  <c r="AD17" i="2" s="1"/>
  <c r="AA124" i="2"/>
  <c r="AB124" i="2" s="1"/>
  <c r="AD124" i="2" s="1"/>
  <c r="AB134" i="2"/>
  <c r="AD134" i="2" s="1"/>
  <c r="AA142" i="2"/>
  <c r="AB142" i="2" s="1"/>
  <c r="AD142" i="2" s="1"/>
  <c r="AA62" i="2"/>
  <c r="AB62" i="2" s="1"/>
  <c r="AD62" i="2" s="1"/>
  <c r="AA177" i="2"/>
  <c r="AB177" i="2" s="1"/>
  <c r="AD177" i="2" s="1"/>
  <c r="AA181" i="2"/>
  <c r="AB181" i="2" s="1"/>
  <c r="AD181" i="2" s="1"/>
  <c r="AA112" i="2"/>
  <c r="AB112" i="2" s="1"/>
  <c r="AD112" i="2" s="1"/>
  <c r="AA163" i="2"/>
  <c r="AB163" i="2" s="1"/>
  <c r="AD163" i="2" s="1"/>
  <c r="AA15" i="2"/>
  <c r="AB15" i="2" s="1"/>
  <c r="AD15" i="2" s="1"/>
  <c r="G94" i="3"/>
  <c r="AA153" i="2"/>
  <c r="AB153" i="2" s="1"/>
  <c r="AD153" i="2" s="1"/>
  <c r="AA165" i="2"/>
  <c r="AB165" i="2" s="1"/>
  <c r="AD165" i="2" s="1"/>
  <c r="AA183" i="2"/>
  <c r="AB183" i="2" s="1"/>
  <c r="AD183" i="2" s="1"/>
  <c r="AA175" i="2"/>
  <c r="AB175" i="2" s="1"/>
  <c r="AD175" i="2" s="1"/>
  <c r="G63" i="3" s="1"/>
  <c r="AA56" i="2"/>
  <c r="AB56" i="2" s="1"/>
  <c r="AD56" i="2" s="1"/>
  <c r="AA51" i="2"/>
  <c r="AB51" i="2" s="1"/>
  <c r="AD51" i="2" s="1"/>
  <c r="AA52" i="2"/>
  <c r="AB52" i="2" s="1"/>
  <c r="AD52" i="2" s="1"/>
  <c r="G60" i="3"/>
  <c r="AA148" i="2"/>
  <c r="AB148" i="2" s="1"/>
  <c r="AD148" i="2" s="1"/>
  <c r="AA129" i="2"/>
  <c r="AB129" i="2" s="1"/>
  <c r="AD129" i="2" s="1"/>
  <c r="AA111" i="2"/>
  <c r="AB111" i="2" s="1"/>
  <c r="AD111" i="2" s="1"/>
  <c r="AA92" i="2"/>
  <c r="AB92" i="2" s="1"/>
  <c r="AD92" i="2" s="1"/>
  <c r="AA88" i="2"/>
  <c r="AB88" i="2" s="1"/>
  <c r="AD88" i="2" s="1"/>
  <c r="AA86" i="2"/>
  <c r="AB86" i="2" s="1"/>
  <c r="AD86" i="2" s="1"/>
  <c r="AA82" i="2"/>
  <c r="AB82" i="2" s="1"/>
  <c r="AD82" i="2" s="1"/>
  <c r="AA83" i="2"/>
  <c r="AB83" i="2" s="1"/>
  <c r="AD83" i="2" s="1"/>
  <c r="AA79" i="2"/>
  <c r="AB79" i="2" s="1"/>
  <c r="AD79" i="2" s="1"/>
  <c r="AA75" i="2"/>
  <c r="AB75" i="2" s="1"/>
  <c r="AD75" i="2" s="1"/>
  <c r="AA68" i="2"/>
  <c r="AB68" i="2" s="1"/>
  <c r="AD68" i="2" s="1"/>
  <c r="AA65" i="2"/>
  <c r="AB65" i="2" s="1"/>
  <c r="AD65" i="2" s="1"/>
  <c r="AA42" i="2"/>
  <c r="AB42" i="2" s="1"/>
  <c r="AD42" i="2" s="1"/>
  <c r="AA45" i="2"/>
  <c r="AB45" i="2" s="1"/>
  <c r="AD45" i="2" s="1"/>
  <c r="G44" i="3"/>
  <c r="Y44" i="3" s="1"/>
  <c r="AA9" i="2"/>
  <c r="AB9" i="2" s="1"/>
  <c r="AD9" i="2" s="1"/>
  <c r="G46" i="3" s="1"/>
  <c r="AB3" i="2"/>
  <c r="AD3" i="2" s="1"/>
  <c r="AA4" i="2"/>
  <c r="AB4" i="2" s="1"/>
  <c r="AD4" i="2" s="1"/>
  <c r="G42" i="3" s="1"/>
  <c r="Y42" i="3" s="1"/>
  <c r="I238" i="6"/>
  <c r="P238" i="6" s="1"/>
  <c r="I237" i="6"/>
  <c r="P237" i="6" s="1"/>
  <c r="I236" i="6"/>
  <c r="P236" i="6" s="1"/>
  <c r="I235" i="6"/>
  <c r="P235" i="6" s="1"/>
  <c r="I234" i="6"/>
  <c r="P234" i="6" s="1"/>
  <c r="I233" i="6"/>
  <c r="P233" i="6" s="1"/>
  <c r="I232" i="6"/>
  <c r="P232" i="6" s="1"/>
  <c r="I80" i="6"/>
  <c r="P80" i="6" s="1"/>
  <c r="I19" i="6"/>
  <c r="P19" i="6" s="1"/>
  <c r="I270" i="6"/>
  <c r="P270" i="6" s="1"/>
  <c r="I269" i="6"/>
  <c r="P269" i="6" s="1"/>
  <c r="I266" i="6"/>
  <c r="P266" i="6" s="1"/>
  <c r="I265" i="6"/>
  <c r="P265" i="6" s="1"/>
  <c r="I264" i="6"/>
  <c r="P264" i="6" s="1"/>
  <c r="I263" i="6"/>
  <c r="P263" i="6" s="1"/>
  <c r="I262" i="6"/>
  <c r="P262" i="6" s="1"/>
  <c r="I261" i="6"/>
  <c r="P261" i="6" s="1"/>
  <c r="I260" i="6"/>
  <c r="P260" i="6" s="1"/>
  <c r="I259" i="6"/>
  <c r="P259" i="6" s="1"/>
  <c r="I258" i="6"/>
  <c r="P258" i="6" s="1"/>
  <c r="I257" i="6"/>
  <c r="P257" i="6" s="1"/>
  <c r="I256" i="6"/>
  <c r="P256" i="6" s="1"/>
  <c r="I255" i="6"/>
  <c r="P255" i="6" s="1"/>
  <c r="I254" i="6"/>
  <c r="P254" i="6" s="1"/>
  <c r="I253" i="6"/>
  <c r="P253" i="6" s="1"/>
  <c r="I252" i="6"/>
  <c r="P252" i="6" s="1"/>
  <c r="I251" i="6"/>
  <c r="P251" i="6" s="1"/>
  <c r="I250" i="6"/>
  <c r="P250" i="6" s="1"/>
  <c r="I249" i="6"/>
  <c r="P249" i="6" s="1"/>
  <c r="I248" i="6"/>
  <c r="P248" i="6" s="1"/>
  <c r="I247" i="6"/>
  <c r="P247" i="6" s="1"/>
  <c r="I246" i="6"/>
  <c r="P246" i="6" s="1"/>
  <c r="I245" i="6"/>
  <c r="P245" i="6" s="1"/>
  <c r="I244" i="6"/>
  <c r="P244" i="6" s="1"/>
  <c r="I243" i="6"/>
  <c r="P243" i="6" s="1"/>
  <c r="I242" i="6"/>
  <c r="P242" i="6" s="1"/>
  <c r="I241" i="6"/>
  <c r="P241" i="6" s="1"/>
  <c r="I240" i="6"/>
  <c r="P240" i="6" s="1"/>
  <c r="I239" i="6"/>
  <c r="P239" i="6" s="1"/>
  <c r="I231" i="6"/>
  <c r="P231" i="6" s="1"/>
  <c r="I226" i="6"/>
  <c r="P226" i="6" s="1"/>
  <c r="I222" i="6"/>
  <c r="P222" i="6" s="1"/>
  <c r="I221" i="6"/>
  <c r="P221" i="6" s="1"/>
  <c r="I290" i="6"/>
  <c r="P290" i="6" s="1"/>
  <c r="I220" i="6"/>
  <c r="P220" i="6" s="1"/>
  <c r="I219" i="6"/>
  <c r="P219" i="6" s="1"/>
  <c r="I218" i="6"/>
  <c r="P218" i="6" s="1"/>
  <c r="I217" i="6"/>
  <c r="P217" i="6" s="1"/>
  <c r="I216" i="6"/>
  <c r="P216" i="6" s="1"/>
  <c r="I215" i="6"/>
  <c r="P215" i="6" s="1"/>
  <c r="I214" i="6"/>
  <c r="P214" i="6" s="1"/>
  <c r="I213" i="6"/>
  <c r="P213" i="6" s="1"/>
  <c r="I317" i="6"/>
  <c r="P317" i="6" s="1"/>
  <c r="I316" i="6"/>
  <c r="P316" i="6" s="1"/>
  <c r="I212" i="6"/>
  <c r="P212" i="6" s="1"/>
  <c r="I211" i="6"/>
  <c r="P211" i="6" s="1"/>
  <c r="I298" i="6"/>
  <c r="P298" i="6" s="1"/>
  <c r="I205" i="6"/>
  <c r="P205" i="6" s="1"/>
  <c r="I204" i="6"/>
  <c r="P204" i="6" s="1"/>
  <c r="I203" i="6"/>
  <c r="P203" i="6" s="1"/>
  <c r="I297" i="6"/>
  <c r="P297" i="6" s="1"/>
  <c r="I296" i="6"/>
  <c r="P296" i="6" s="1"/>
  <c r="I295" i="6"/>
  <c r="P295" i="6" s="1"/>
  <c r="I294" i="6"/>
  <c r="P294" i="6" s="1"/>
  <c r="I293" i="6"/>
  <c r="P293" i="6" s="1"/>
  <c r="I292" i="6"/>
  <c r="P292" i="6" s="1"/>
  <c r="I291" i="6"/>
  <c r="P291" i="6" s="1"/>
  <c r="I198" i="6"/>
  <c r="P198" i="6" s="1"/>
  <c r="I289" i="6"/>
  <c r="P289" i="6" s="1"/>
  <c r="I210" i="6"/>
  <c r="P210" i="6" s="1"/>
  <c r="I287" i="6"/>
  <c r="P287" i="6" s="1"/>
  <c r="I286" i="6"/>
  <c r="P286" i="6" s="1"/>
  <c r="I209" i="6"/>
  <c r="P209" i="6" s="1"/>
  <c r="I299" i="6"/>
  <c r="P299" i="6" s="1"/>
  <c r="I208" i="6"/>
  <c r="P208" i="6" s="1"/>
  <c r="I207" i="6"/>
  <c r="P207" i="6" s="1"/>
  <c r="I206" i="6"/>
  <c r="P206" i="6" s="1"/>
  <c r="I202" i="6"/>
  <c r="P202" i="6" s="1"/>
  <c r="I314" i="6"/>
  <c r="P314" i="6" s="1"/>
  <c r="I313" i="6"/>
  <c r="P313" i="6" s="1"/>
  <c r="I312" i="6"/>
  <c r="P312" i="6" s="1"/>
  <c r="I311" i="6"/>
  <c r="P311" i="6" s="1"/>
  <c r="I201" i="6"/>
  <c r="P201" i="6" s="1"/>
  <c r="I309" i="6"/>
  <c r="P309" i="6" s="1"/>
  <c r="I308" i="6"/>
  <c r="P308" i="6" s="1"/>
  <c r="I307" i="6"/>
  <c r="P307" i="6" s="1"/>
  <c r="I306" i="6"/>
  <c r="P306" i="6" s="1"/>
  <c r="I305" i="6"/>
  <c r="P305" i="6" s="1"/>
  <c r="I304" i="6"/>
  <c r="P304" i="6" s="1"/>
  <c r="I303" i="6"/>
  <c r="P303" i="6" s="1"/>
  <c r="I302" i="6"/>
  <c r="P302" i="6" s="1"/>
  <c r="I301" i="6"/>
  <c r="P301" i="6" s="1"/>
  <c r="I200" i="6"/>
  <c r="P200" i="6" s="1"/>
  <c r="I320" i="6"/>
  <c r="P320" i="6" s="1"/>
  <c r="I319" i="6"/>
  <c r="P319" i="6" s="1"/>
  <c r="I318" i="6"/>
  <c r="P318" i="6" s="1"/>
  <c r="I315" i="6"/>
  <c r="P315" i="6" s="1"/>
  <c r="I310" i="6"/>
  <c r="P310" i="6" s="1"/>
  <c r="I300" i="6"/>
  <c r="P300" i="6" s="1"/>
  <c r="I288" i="6"/>
  <c r="P288" i="6" s="1"/>
  <c r="I285" i="6"/>
  <c r="I199" i="6"/>
  <c r="P199" i="6" s="1"/>
  <c r="I197" i="6"/>
  <c r="P197" i="6" s="1"/>
  <c r="I321" i="6"/>
  <c r="P321" i="6" s="1"/>
  <c r="I186" i="6"/>
  <c r="P186" i="6" s="1"/>
  <c r="I185" i="6"/>
  <c r="P185" i="6" s="1"/>
  <c r="I184" i="6"/>
  <c r="P184" i="6" s="1"/>
  <c r="I187" i="6"/>
  <c r="P187" i="6" s="1"/>
  <c r="I183" i="6"/>
  <c r="P183" i="6" s="1"/>
  <c r="I182" i="6"/>
  <c r="P182" i="6" s="1"/>
  <c r="I181" i="6"/>
  <c r="P181" i="6" s="1"/>
  <c r="I180" i="6"/>
  <c r="P180" i="6" s="1"/>
  <c r="I179" i="6"/>
  <c r="P179" i="6" s="1"/>
  <c r="I178" i="6"/>
  <c r="P178" i="6" s="1"/>
  <c r="I177" i="6"/>
  <c r="P177" i="6" s="1"/>
  <c r="I176" i="6"/>
  <c r="P176" i="6" s="1"/>
  <c r="I174" i="6"/>
  <c r="P174" i="6" s="1"/>
  <c r="I175" i="6"/>
  <c r="P175" i="6" s="1"/>
  <c r="I172" i="6"/>
  <c r="P172" i="6" s="1"/>
  <c r="I171" i="6"/>
  <c r="P171" i="6" s="1"/>
  <c r="I170" i="6"/>
  <c r="P170" i="6" s="1"/>
  <c r="I169" i="6"/>
  <c r="P169" i="6" s="1"/>
  <c r="I168" i="6"/>
  <c r="P168" i="6" s="1"/>
  <c r="I167" i="6"/>
  <c r="P167" i="6" s="1"/>
  <c r="I166" i="6"/>
  <c r="P166" i="6" s="1"/>
  <c r="I165" i="6"/>
  <c r="P165" i="6" s="1"/>
  <c r="I164" i="6"/>
  <c r="P164" i="6" s="1"/>
  <c r="I163" i="6"/>
  <c r="P163" i="6" s="1"/>
  <c r="I162" i="6"/>
  <c r="P162" i="6" s="1"/>
  <c r="I161" i="6"/>
  <c r="P161" i="6" s="1"/>
  <c r="I160" i="6"/>
  <c r="P160" i="6" s="1"/>
  <c r="I159" i="6"/>
  <c r="P159" i="6" s="1"/>
  <c r="I158" i="6"/>
  <c r="P158" i="6" s="1"/>
  <c r="I157" i="6"/>
  <c r="P157" i="6" s="1"/>
  <c r="I156" i="6"/>
  <c r="P156" i="6" s="1"/>
  <c r="I155" i="6"/>
  <c r="P155" i="6" s="1"/>
  <c r="I154" i="6"/>
  <c r="P154" i="6" s="1"/>
  <c r="I153" i="6"/>
  <c r="P153" i="6" s="1"/>
  <c r="I152" i="6"/>
  <c r="P152" i="6" s="1"/>
  <c r="I151" i="6"/>
  <c r="P151" i="6" s="1"/>
  <c r="I150" i="6"/>
  <c r="P150" i="6" s="1"/>
  <c r="I149" i="6"/>
  <c r="P149" i="6" s="1"/>
  <c r="I148" i="6"/>
  <c r="P148" i="6" s="1"/>
  <c r="I147" i="6"/>
  <c r="P147" i="6" s="1"/>
  <c r="I146" i="6"/>
  <c r="P146" i="6" s="1"/>
  <c r="I40" i="6"/>
  <c r="P40" i="6" s="1"/>
  <c r="I104" i="6"/>
  <c r="P104" i="6" s="1"/>
  <c r="I99" i="6"/>
  <c r="P99" i="6" s="1"/>
  <c r="I100" i="6"/>
  <c r="P100" i="6" s="1"/>
  <c r="I113" i="6"/>
  <c r="P113" i="6" s="1"/>
  <c r="I93" i="6"/>
  <c r="P93" i="6" s="1"/>
  <c r="I90" i="6"/>
  <c r="P90" i="6" s="1"/>
  <c r="I89" i="6"/>
  <c r="P89" i="6" s="1"/>
  <c r="I139" i="6"/>
  <c r="P139" i="6" s="1"/>
  <c r="I194" i="6"/>
  <c r="P194" i="6" s="1"/>
  <c r="I193" i="6"/>
  <c r="P193" i="6" s="1"/>
  <c r="I192" i="6"/>
  <c r="P192" i="6" s="1"/>
  <c r="I191" i="6"/>
  <c r="P191" i="6" s="1"/>
  <c r="I145" i="6"/>
  <c r="P145" i="6" s="1"/>
  <c r="I144" i="6"/>
  <c r="P144" i="6" s="1"/>
  <c r="I143" i="6"/>
  <c r="P143" i="6" s="1"/>
  <c r="I142" i="6"/>
  <c r="P142" i="6" s="1"/>
  <c r="I141" i="6"/>
  <c r="P141" i="6" s="1"/>
  <c r="I140" i="6"/>
  <c r="P140" i="6" s="1"/>
  <c r="I138" i="6"/>
  <c r="P138" i="6" s="1"/>
  <c r="I127" i="6"/>
  <c r="P127" i="6" s="1"/>
  <c r="I134" i="6"/>
  <c r="P134" i="6" s="1"/>
  <c r="I129" i="6"/>
  <c r="P129" i="6" s="1"/>
  <c r="I128" i="6"/>
  <c r="P128" i="6" s="1"/>
  <c r="I122" i="6"/>
  <c r="P122" i="6" s="1"/>
  <c r="I120" i="6"/>
  <c r="P120" i="6" s="1"/>
  <c r="I119" i="6"/>
  <c r="P119" i="6" s="1"/>
  <c r="I125" i="6"/>
  <c r="P125" i="6" s="1"/>
  <c r="I124" i="6"/>
  <c r="P124" i="6" s="1"/>
  <c r="I123" i="6"/>
  <c r="P123" i="6" s="1"/>
  <c r="I126" i="6"/>
  <c r="P126" i="6" s="1"/>
  <c r="I121" i="6"/>
  <c r="P121" i="6" s="1"/>
  <c r="I112" i="6"/>
  <c r="P112" i="6" s="1"/>
  <c r="I95" i="6"/>
  <c r="P95" i="6" s="1"/>
  <c r="I110" i="6"/>
  <c r="P110" i="6" s="1"/>
  <c r="I109" i="6"/>
  <c r="P109" i="6" s="1"/>
  <c r="I98" i="6"/>
  <c r="P98" i="6" s="1"/>
  <c r="I107" i="6"/>
  <c r="P107" i="6" s="1"/>
  <c r="I92" i="6"/>
  <c r="P92" i="6" s="1"/>
  <c r="I94" i="6"/>
  <c r="P94" i="6" s="1"/>
  <c r="I91" i="6"/>
  <c r="P91" i="6" s="1"/>
  <c r="I108" i="6"/>
  <c r="P108" i="6" s="1"/>
  <c r="I106" i="6"/>
  <c r="P106" i="6" s="1"/>
  <c r="I111" i="6"/>
  <c r="P111" i="6" s="1"/>
  <c r="I105" i="6"/>
  <c r="P105" i="6" s="1"/>
  <c r="I103" i="6"/>
  <c r="P103" i="6" s="1"/>
  <c r="I102" i="6"/>
  <c r="P102" i="6" s="1"/>
  <c r="I101" i="6"/>
  <c r="P101" i="6" s="1"/>
  <c r="I97" i="6"/>
  <c r="P97" i="6" s="1"/>
  <c r="I96" i="6"/>
  <c r="P96" i="6" s="1"/>
  <c r="I88" i="6"/>
  <c r="P88" i="6" s="1"/>
  <c r="I87" i="6"/>
  <c r="P87" i="6" s="1"/>
  <c r="I83" i="6"/>
  <c r="P83" i="6" s="1"/>
  <c r="I82" i="6"/>
  <c r="P82" i="6" s="1"/>
  <c r="I81" i="6"/>
  <c r="P81" i="6" s="1"/>
  <c r="I79" i="6"/>
  <c r="P79" i="6" s="1"/>
  <c r="I78" i="6"/>
  <c r="P78" i="6" s="1"/>
  <c r="I77" i="6"/>
  <c r="P77" i="6" s="1"/>
  <c r="I76" i="6"/>
  <c r="P76" i="6" s="1"/>
  <c r="I75" i="6"/>
  <c r="P75" i="6" s="1"/>
  <c r="I74" i="6"/>
  <c r="P74" i="6" s="1"/>
  <c r="I73" i="6"/>
  <c r="P73" i="6" s="1"/>
  <c r="I4" i="6"/>
  <c r="P4" i="6" s="1"/>
  <c r="I3" i="6"/>
  <c r="P3" i="6" s="1"/>
  <c r="I2" i="6"/>
  <c r="P2" i="6" s="1"/>
  <c r="I20" i="6"/>
  <c r="P20" i="6" s="1"/>
  <c r="I18" i="6"/>
  <c r="P18" i="6" s="1"/>
  <c r="I17" i="6"/>
  <c r="P17" i="6" s="1"/>
  <c r="I16" i="6"/>
  <c r="P16" i="6" s="1"/>
  <c r="I15" i="6"/>
  <c r="P15" i="6" s="1"/>
  <c r="I14" i="6"/>
  <c r="P14" i="6" s="1"/>
  <c r="I13" i="6"/>
  <c r="P13" i="6" s="1"/>
  <c r="I12" i="6"/>
  <c r="P12" i="6" s="1"/>
  <c r="I11" i="6"/>
  <c r="P11" i="6" s="1"/>
  <c r="I10" i="6"/>
  <c r="P10" i="6" s="1"/>
  <c r="I9" i="6"/>
  <c r="P9" i="6" s="1"/>
  <c r="I8" i="6"/>
  <c r="P8" i="6" s="1"/>
  <c r="I7" i="6"/>
  <c r="P7" i="6" s="1"/>
  <c r="I27" i="6"/>
  <c r="P27" i="6" s="1"/>
  <c r="I26" i="6"/>
  <c r="P26" i="6" s="1"/>
  <c r="I25" i="6"/>
  <c r="P25" i="6" s="1"/>
  <c r="I24" i="6"/>
  <c r="P24" i="6" s="1"/>
  <c r="I23" i="6"/>
  <c r="P23" i="6" s="1"/>
  <c r="I35" i="6"/>
  <c r="P35" i="6" s="1"/>
  <c r="I34" i="6"/>
  <c r="P34" i="6" s="1"/>
  <c r="I33" i="6"/>
  <c r="P33" i="6" s="1"/>
  <c r="I32" i="6"/>
  <c r="P32" i="6" s="1"/>
  <c r="I36" i="6"/>
  <c r="P36" i="6" s="1"/>
  <c r="I39" i="6"/>
  <c r="P39" i="6" s="1"/>
  <c r="I38" i="6"/>
  <c r="P38" i="6" s="1"/>
  <c r="I37" i="6"/>
  <c r="P37" i="6" s="1"/>
  <c r="I46" i="6"/>
  <c r="P46" i="6" s="1"/>
  <c r="I45" i="6"/>
  <c r="P45" i="6" s="1"/>
  <c r="I44" i="6"/>
  <c r="P44" i="6" s="1"/>
  <c r="I43" i="6"/>
  <c r="P43" i="6" s="1"/>
  <c r="I42" i="6"/>
  <c r="P42" i="6" s="1"/>
  <c r="I41" i="6"/>
  <c r="P41" i="6" s="1"/>
  <c r="I66" i="6"/>
  <c r="P66" i="6" s="1"/>
  <c r="I63" i="6"/>
  <c r="P63" i="6" s="1"/>
  <c r="I62" i="6"/>
  <c r="P62" i="6" s="1"/>
  <c r="I61" i="6"/>
  <c r="P61" i="6" s="1"/>
  <c r="I60" i="6"/>
  <c r="P60" i="6" s="1"/>
  <c r="I59" i="6"/>
  <c r="P59" i="6" s="1"/>
  <c r="I58" i="6"/>
  <c r="P58" i="6" s="1"/>
  <c r="I57" i="6"/>
  <c r="P57" i="6" s="1"/>
  <c r="I56" i="6"/>
  <c r="P56" i="6" s="1"/>
  <c r="I55" i="6"/>
  <c r="P55" i="6" s="1"/>
  <c r="I54" i="6"/>
  <c r="P54" i="6" s="1"/>
  <c r="I53" i="6"/>
  <c r="P53" i="6" s="1"/>
  <c r="I52" i="6"/>
  <c r="P52" i="6" s="1"/>
  <c r="I51" i="6"/>
  <c r="P51" i="6" s="1"/>
  <c r="I50" i="6"/>
  <c r="P50" i="6" s="1"/>
  <c r="I49" i="6"/>
  <c r="P49" i="6" s="1"/>
  <c r="I48" i="6"/>
  <c r="P48" i="6" s="1"/>
  <c r="I47" i="6"/>
  <c r="P47" i="6" s="1"/>
  <c r="F3" i="7"/>
  <c r="J3" i="7" s="1"/>
  <c r="G3" i="7"/>
  <c r="M3" i="7"/>
  <c r="F4" i="7"/>
  <c r="J4" i="7" s="1"/>
  <c r="G4" i="7"/>
  <c r="M4" i="7"/>
  <c r="F8" i="7"/>
  <c r="G8" i="7"/>
  <c r="M8" i="7"/>
  <c r="O21" i="7"/>
  <c r="Q21" i="7" s="1"/>
  <c r="U21" i="7" s="1"/>
  <c r="W21" i="7"/>
  <c r="X21" i="7"/>
  <c r="F23" i="7"/>
  <c r="N23" i="7" s="1"/>
  <c r="G23" i="7"/>
  <c r="M23" i="7"/>
  <c r="O28" i="7"/>
  <c r="Q28" i="7" s="1"/>
  <c r="U28" i="7" s="1"/>
  <c r="W28" i="7"/>
  <c r="X28" i="7"/>
  <c r="L5" i="5"/>
  <c r="D27" i="5"/>
  <c r="I27" i="5" s="1"/>
  <c r="S142" i="5"/>
  <c r="D54" i="3"/>
  <c r="D37" i="3"/>
  <c r="R66" i="5"/>
  <c r="R64" i="5"/>
  <c r="R57" i="5"/>
  <c r="D104" i="3"/>
  <c r="D88" i="3"/>
  <c r="D76" i="3"/>
  <c r="D61" i="3"/>
  <c r="D48" i="3"/>
  <c r="D26" i="3"/>
  <c r="D14" i="3"/>
  <c r="D131" i="5"/>
  <c r="D53" i="5"/>
  <c r="L25" i="3"/>
  <c r="L58" i="3"/>
  <c r="L59" i="3"/>
  <c r="L60" i="3"/>
  <c r="L72" i="3"/>
  <c r="L75" i="3"/>
  <c r="L74" i="3"/>
  <c r="L73" i="3"/>
  <c r="F19" i="3"/>
  <c r="D34" i="3"/>
  <c r="I163" i="1"/>
  <c r="D31" i="5"/>
  <c r="D39" i="5"/>
  <c r="D44" i="5"/>
  <c r="D134" i="5"/>
  <c r="D66" i="5"/>
  <c r="D45" i="5"/>
  <c r="D64" i="5"/>
  <c r="F141" i="5"/>
  <c r="D90" i="5"/>
  <c r="D38" i="5"/>
  <c r="D126" i="5"/>
  <c r="K126" i="5" s="1"/>
  <c r="D89" i="5"/>
  <c r="D43" i="5"/>
  <c r="D122" i="5"/>
  <c r="D58" i="5"/>
  <c r="D102" i="5"/>
  <c r="D25" i="5"/>
  <c r="F25" i="5" s="1"/>
  <c r="D37" i="5"/>
  <c r="F37" i="5" s="1"/>
  <c r="D32" i="5"/>
  <c r="F32" i="5" s="1"/>
  <c r="D59" i="5"/>
  <c r="G21" i="3"/>
  <c r="F17" i="3"/>
  <c r="F22" i="3"/>
  <c r="F67" i="3"/>
  <c r="F21" i="3"/>
  <c r="F66" i="3"/>
  <c r="F20" i="3"/>
  <c r="F36" i="3"/>
  <c r="F53" i="3"/>
  <c r="F18" i="3"/>
  <c r="G20" i="3"/>
  <c r="G53" i="3"/>
  <c r="G17" i="3"/>
  <c r="G19" i="3"/>
  <c r="G22" i="3"/>
  <c r="G66" i="3"/>
  <c r="G67" i="3"/>
  <c r="G18" i="3"/>
  <c r="N8" i="7" l="1"/>
  <c r="J8" i="7"/>
  <c r="J23" i="7"/>
  <c r="G7" i="3"/>
  <c r="Y7" i="3" s="1"/>
  <c r="G41" i="3"/>
  <c r="Y41" i="3" s="1"/>
  <c r="G40" i="3"/>
  <c r="Y40" i="3" s="1"/>
  <c r="AA133" i="2"/>
  <c r="AB133" i="2" s="1"/>
  <c r="AD133" i="2" s="1"/>
  <c r="J37" i="5"/>
  <c r="R5" i="6"/>
  <c r="K8" i="7"/>
  <c r="Y63" i="3"/>
  <c r="AC63" i="3" s="1"/>
  <c r="J63" i="3"/>
  <c r="AA141" i="2"/>
  <c r="AB141" i="2" s="1"/>
  <c r="AD141" i="2" s="1"/>
  <c r="G96" i="3"/>
  <c r="Y93" i="3" s="1"/>
  <c r="AC93" i="3" s="1"/>
  <c r="J90" i="3"/>
  <c r="D105" i="3"/>
  <c r="I39" i="5"/>
  <c r="Q39" i="5"/>
  <c r="Q31" i="5"/>
  <c r="I31" i="5"/>
  <c r="I45" i="5"/>
  <c r="Q45" i="5"/>
  <c r="R271" i="6"/>
  <c r="R21" i="6"/>
  <c r="R28" i="6"/>
  <c r="R67" i="6"/>
  <c r="R84" i="6"/>
  <c r="R114" i="6"/>
  <c r="R135" i="6"/>
  <c r="R195" i="6"/>
  <c r="R227" i="6"/>
  <c r="R267" i="6"/>
  <c r="I325" i="6"/>
  <c r="H327" i="6" s="1"/>
  <c r="H328" i="6" s="1"/>
  <c r="P285" i="6"/>
  <c r="R330" i="6" s="1"/>
  <c r="AA140" i="2"/>
  <c r="AB140" i="2" s="1"/>
  <c r="AD140" i="2" s="1"/>
  <c r="G75" i="3" s="1"/>
  <c r="Y75" i="3" s="1"/>
  <c r="AC75" i="3" s="1"/>
  <c r="G134" i="5"/>
  <c r="F134" i="5"/>
  <c r="M131" i="5"/>
  <c r="F131" i="5"/>
  <c r="O65" i="5"/>
  <c r="F65" i="5"/>
  <c r="O122" i="5"/>
  <c r="F122" i="5"/>
  <c r="O44" i="5"/>
  <c r="F44" i="5"/>
  <c r="O53" i="5"/>
  <c r="F53" i="5"/>
  <c r="O59" i="5"/>
  <c r="F59" i="5"/>
  <c r="O38" i="5"/>
  <c r="F38" i="5"/>
  <c r="P141" i="5"/>
  <c r="O141" i="5"/>
  <c r="I5" i="6"/>
  <c r="K4" i="7"/>
  <c r="N4" i="7"/>
  <c r="R21" i="7"/>
  <c r="S21" i="7" s="1"/>
  <c r="Y21" i="7" s="1"/>
  <c r="AB139" i="2"/>
  <c r="AD139" i="2" s="1"/>
  <c r="AA180" i="2"/>
  <c r="AB180" i="2" s="1"/>
  <c r="AD180" i="2" s="1"/>
  <c r="G47" i="3" s="1"/>
  <c r="Y47" i="3" s="1"/>
  <c r="G58" i="3"/>
  <c r="J58" i="3" s="1"/>
  <c r="AA19" i="2"/>
  <c r="AB19" i="2" s="1"/>
  <c r="AD19" i="2" s="1"/>
  <c r="G43" i="3" s="1"/>
  <c r="Y43" i="3" s="1"/>
  <c r="G11" i="3"/>
  <c r="Y11" i="3" s="1"/>
  <c r="G8" i="3"/>
  <c r="Y8" i="3" s="1"/>
  <c r="G36" i="3"/>
  <c r="Y36" i="3" s="1"/>
  <c r="AA136" i="2"/>
  <c r="AB136" i="2" s="1"/>
  <c r="AD136" i="2" s="1"/>
  <c r="G72" i="3" s="1"/>
  <c r="J72" i="3" s="1"/>
  <c r="I23" i="7"/>
  <c r="I271" i="6"/>
  <c r="G25" i="3"/>
  <c r="Y25" i="3" s="1"/>
  <c r="AC25" i="3" s="1"/>
  <c r="G29" i="3"/>
  <c r="Y29" i="3" s="1"/>
  <c r="G33" i="3"/>
  <c r="Y33" i="3" s="1"/>
  <c r="AA135" i="2"/>
  <c r="AB135" i="2" s="1"/>
  <c r="AD135" i="2" s="1"/>
  <c r="AA98" i="2"/>
  <c r="AB98" i="2" s="1"/>
  <c r="AD98" i="2" s="1"/>
  <c r="G9" i="3" s="1"/>
  <c r="Y9" i="3" s="1"/>
  <c r="G87" i="3"/>
  <c r="Y87" i="3" s="1"/>
  <c r="G32" i="3"/>
  <c r="G30" i="3"/>
  <c r="Y30" i="3" s="1"/>
  <c r="G28" i="3"/>
  <c r="Y28" i="3" s="1"/>
  <c r="L47" i="3"/>
  <c r="L32" i="3"/>
  <c r="L41" i="3"/>
  <c r="L42" i="3"/>
  <c r="J42" i="3" s="1"/>
  <c r="L43" i="3"/>
  <c r="L45" i="3"/>
  <c r="L29" i="3"/>
  <c r="L40" i="3"/>
  <c r="F51" i="3"/>
  <c r="L30" i="3"/>
  <c r="L31" i="3"/>
  <c r="G103" i="3"/>
  <c r="Y103" i="3" s="1"/>
  <c r="AC103" i="3" s="1"/>
  <c r="G59" i="3"/>
  <c r="Y59" i="3" s="1"/>
  <c r="AC59" i="3" s="1"/>
  <c r="L61" i="3"/>
  <c r="L26" i="3"/>
  <c r="G13" i="3"/>
  <c r="Y13" i="3" s="1"/>
  <c r="G31" i="3"/>
  <c r="Y31" i="3" s="1"/>
  <c r="G50" i="3"/>
  <c r="Y50" i="3" s="1"/>
  <c r="Y49" i="3" s="1"/>
  <c r="G45" i="3"/>
  <c r="Y45" i="3" s="1"/>
  <c r="J46" i="3"/>
  <c r="Y46" i="3"/>
  <c r="AC46" i="3" s="1"/>
  <c r="L8" i="3"/>
  <c r="L9" i="3"/>
  <c r="L13" i="3"/>
  <c r="L12" i="3"/>
  <c r="L10" i="3"/>
  <c r="L11" i="3"/>
  <c r="L7" i="3"/>
  <c r="L6" i="3"/>
  <c r="P44" i="5"/>
  <c r="E44" i="5"/>
  <c r="N44" i="5"/>
  <c r="M44" i="5"/>
  <c r="L44" i="5"/>
  <c r="K44" i="5"/>
  <c r="H44" i="5"/>
  <c r="J44" i="5"/>
  <c r="Q44" i="5"/>
  <c r="G44" i="5"/>
  <c r="H26" i="5"/>
  <c r="G26" i="5"/>
  <c r="E26" i="5"/>
  <c r="J26" i="5"/>
  <c r="L26" i="5"/>
  <c r="N26" i="5"/>
  <c r="P26" i="5"/>
  <c r="K26" i="5"/>
  <c r="M26" i="5"/>
  <c r="Q26" i="5"/>
  <c r="J141" i="5"/>
  <c r="H59" i="5"/>
  <c r="Q59" i="5"/>
  <c r="G59" i="5"/>
  <c r="P59" i="5"/>
  <c r="E59" i="5"/>
  <c r="N59" i="5"/>
  <c r="M59" i="5"/>
  <c r="L59" i="5"/>
  <c r="K59" i="5"/>
  <c r="J59" i="5"/>
  <c r="L38" i="5"/>
  <c r="H38" i="5"/>
  <c r="K38" i="5"/>
  <c r="N38" i="5"/>
  <c r="Q38" i="5"/>
  <c r="G38" i="5"/>
  <c r="E38" i="5"/>
  <c r="J38" i="5"/>
  <c r="M38" i="5"/>
  <c r="P38" i="5"/>
  <c r="K53" i="5"/>
  <c r="J53" i="5"/>
  <c r="H53" i="5"/>
  <c r="N53" i="5"/>
  <c r="Q53" i="5"/>
  <c r="G53" i="5"/>
  <c r="P53" i="5"/>
  <c r="E53" i="5"/>
  <c r="M53" i="5"/>
  <c r="L53" i="5"/>
  <c r="P65" i="5"/>
  <c r="E65" i="5"/>
  <c r="N65" i="5"/>
  <c r="J65" i="5"/>
  <c r="M65" i="5"/>
  <c r="L65" i="5"/>
  <c r="K65" i="5"/>
  <c r="H65" i="5"/>
  <c r="Q65" i="5"/>
  <c r="G65" i="5"/>
  <c r="V28" i="7"/>
  <c r="R28" i="7"/>
  <c r="S28" i="7" s="1"/>
  <c r="T28" i="7"/>
  <c r="K3" i="7"/>
  <c r="N3" i="7"/>
  <c r="F88" i="3"/>
  <c r="N5" i="5" s="1"/>
  <c r="L50" i="3"/>
  <c r="M5" i="5"/>
  <c r="L36" i="3"/>
  <c r="F37" i="3"/>
  <c r="I5" i="5" s="1"/>
  <c r="L28" i="3"/>
  <c r="F34" i="3"/>
  <c r="H5" i="5" s="1"/>
  <c r="L33" i="3"/>
  <c r="E141" i="5"/>
  <c r="Q141" i="5"/>
  <c r="Q122" i="5"/>
  <c r="I133" i="5"/>
  <c r="R133" i="5" s="1"/>
  <c r="G141" i="5"/>
  <c r="K131" i="5"/>
  <c r="I21" i="6"/>
  <c r="I84" i="6"/>
  <c r="I67" i="6"/>
  <c r="I114" i="6"/>
  <c r="I227" i="6"/>
  <c r="K227" i="6" s="1"/>
  <c r="I267" i="6"/>
  <c r="I28" i="6"/>
  <c r="I135" i="6"/>
  <c r="K135" i="6" s="1"/>
  <c r="I195" i="6"/>
  <c r="K195" i="6" s="1"/>
  <c r="M37" i="5"/>
  <c r="I58" i="5"/>
  <c r="R27" i="5"/>
  <c r="G25" i="5"/>
  <c r="I122" i="5"/>
  <c r="E135" i="5"/>
  <c r="R135" i="5" s="1"/>
  <c r="J131" i="5"/>
  <c r="G32" i="5"/>
  <c r="G131" i="5"/>
  <c r="M122" i="5"/>
  <c r="K37" i="5"/>
  <c r="K141" i="5"/>
  <c r="L141" i="5"/>
  <c r="T4" i="5"/>
  <c r="Q43" i="5" s="1"/>
  <c r="M141" i="5"/>
  <c r="H141" i="5"/>
  <c r="D104" i="5"/>
  <c r="I141" i="5"/>
  <c r="P122" i="5"/>
  <c r="G122" i="5"/>
  <c r="E132" i="5"/>
  <c r="R132" i="5" s="1"/>
  <c r="N141" i="5"/>
  <c r="V21" i="7"/>
  <c r="T21" i="7"/>
  <c r="T43" i="5"/>
  <c r="J25" i="5"/>
  <c r="J134" i="5"/>
  <c r="K25" i="5"/>
  <c r="M32" i="5"/>
  <c r="I137" i="5"/>
  <c r="R137" i="5" s="1"/>
  <c r="M134" i="5"/>
  <c r="K134" i="5"/>
  <c r="K122" i="5"/>
  <c r="L122" i="5"/>
  <c r="E122" i="5"/>
  <c r="J122" i="5"/>
  <c r="K23" i="7"/>
  <c r="O23" i="7" s="1"/>
  <c r="AB23" i="7" s="1"/>
  <c r="G37" i="5"/>
  <c r="J32" i="5"/>
  <c r="N122" i="5"/>
  <c r="H122" i="5"/>
  <c r="K32" i="5"/>
  <c r="M25" i="5"/>
  <c r="F61" i="3"/>
  <c r="K5" i="5" s="1"/>
  <c r="BB22" i="3"/>
  <c r="BB17" i="3"/>
  <c r="BB21" i="3"/>
  <c r="J60" i="3"/>
  <c r="Y60" i="3"/>
  <c r="AC60" i="3" s="1"/>
  <c r="F68" i="3"/>
  <c r="F23" i="3"/>
  <c r="L5" i="3"/>
  <c r="F48" i="3"/>
  <c r="J5" i="5" s="1"/>
  <c r="F14" i="3"/>
  <c r="L44" i="3"/>
  <c r="AC7" i="3" l="1"/>
  <c r="AC79" i="3" s="1"/>
  <c r="O8" i="7"/>
  <c r="AB8" i="7" s="1"/>
  <c r="J40" i="3"/>
  <c r="J41" i="3"/>
  <c r="J93" i="3"/>
  <c r="J94" i="3"/>
  <c r="J91" i="3"/>
  <c r="J92" i="3"/>
  <c r="C63" i="3"/>
  <c r="O4" i="7"/>
  <c r="AB4" i="7" s="1"/>
  <c r="Y92" i="3"/>
  <c r="AC92" i="3" s="1"/>
  <c r="Y91" i="3"/>
  <c r="AC91" i="3" s="1"/>
  <c r="Y94" i="3"/>
  <c r="AC94" i="3" s="1"/>
  <c r="G74" i="3"/>
  <c r="Y74" i="3" s="1"/>
  <c r="AC74" i="3" s="1"/>
  <c r="R39" i="5"/>
  <c r="R45" i="5"/>
  <c r="Q58" i="5"/>
  <c r="R58" i="5" s="1"/>
  <c r="P142" i="5"/>
  <c r="T99" i="3" s="1"/>
  <c r="O67" i="5"/>
  <c r="N90" i="3" s="1"/>
  <c r="R338" i="6"/>
  <c r="S267" i="6" s="1"/>
  <c r="Q11" i="5" s="1"/>
  <c r="F142" i="5"/>
  <c r="G73" i="3"/>
  <c r="Y73" i="3" s="1"/>
  <c r="AC73" i="3" s="1"/>
  <c r="E6" i="5"/>
  <c r="K114" i="6"/>
  <c r="H6" i="5"/>
  <c r="K28" i="6"/>
  <c r="Q6" i="5"/>
  <c r="K267" i="6"/>
  <c r="J6" i="5"/>
  <c r="K67" i="6"/>
  <c r="M6" i="5"/>
  <c r="K84" i="6"/>
  <c r="L6" i="5"/>
  <c r="G6" i="5"/>
  <c r="K21" i="6"/>
  <c r="N6" i="5"/>
  <c r="K271" i="6"/>
  <c r="F67" i="5"/>
  <c r="F43" i="5"/>
  <c r="F46" i="5" s="1"/>
  <c r="O142" i="5"/>
  <c r="T90" i="3" s="1"/>
  <c r="T91" i="3" s="1"/>
  <c r="C25" i="3"/>
  <c r="C26" i="3" s="1"/>
  <c r="I327" i="6"/>
  <c r="C91" i="3" s="1"/>
  <c r="H329" i="6"/>
  <c r="I329" i="6" s="1"/>
  <c r="C93" i="3" s="1"/>
  <c r="I328" i="6"/>
  <c r="C92" i="3" s="1"/>
  <c r="G12" i="3"/>
  <c r="Y12" i="3" s="1"/>
  <c r="AC12" i="3" s="1"/>
  <c r="AC83" i="3" s="1"/>
  <c r="I43" i="5"/>
  <c r="I46" i="5" s="1"/>
  <c r="N142" i="5"/>
  <c r="T87" i="3" s="1"/>
  <c r="O43" i="5"/>
  <c r="O46" i="5" s="1"/>
  <c r="M90" i="3" s="1"/>
  <c r="M93" i="3" s="1"/>
  <c r="G67" i="5"/>
  <c r="N24" i="3" s="1"/>
  <c r="N25" i="3" s="1"/>
  <c r="G142" i="5"/>
  <c r="T24" i="3" s="1"/>
  <c r="T25" i="3" s="1"/>
  <c r="L67" i="5"/>
  <c r="N71" i="3" s="1"/>
  <c r="N73" i="3" s="1"/>
  <c r="Y58" i="3"/>
  <c r="AC58" i="3" s="1"/>
  <c r="Y28" i="7"/>
  <c r="Z28" i="7" s="1"/>
  <c r="AB28" i="7" s="1"/>
  <c r="AB29" i="7" s="1"/>
  <c r="D113" i="5" s="1"/>
  <c r="F113" i="5" s="1"/>
  <c r="G6" i="3"/>
  <c r="Y6" i="3" s="1"/>
  <c r="AC6" i="3" s="1"/>
  <c r="AC78" i="3" s="1"/>
  <c r="G5" i="3"/>
  <c r="Y5" i="3" s="1"/>
  <c r="AC5" i="3" s="1"/>
  <c r="AC77" i="3" s="1"/>
  <c r="J8" i="3"/>
  <c r="G10" i="3"/>
  <c r="Y10" i="3" s="1"/>
  <c r="AC10" i="3" s="1"/>
  <c r="AC81" i="3" s="1"/>
  <c r="J47" i="3"/>
  <c r="J75" i="3"/>
  <c r="Y72" i="3"/>
  <c r="AC72" i="3" s="1"/>
  <c r="C59" i="3"/>
  <c r="M142" i="5"/>
  <c r="T49" i="3" s="1"/>
  <c r="J25" i="3"/>
  <c r="H142" i="5"/>
  <c r="T27" i="3" s="1"/>
  <c r="C74" i="3"/>
  <c r="O3" i="7"/>
  <c r="AB3" i="7" s="1"/>
  <c r="C103" i="3"/>
  <c r="C104" i="3" s="1"/>
  <c r="P6" i="5"/>
  <c r="K142" i="5"/>
  <c r="T57" i="3" s="1"/>
  <c r="T59" i="3" s="1"/>
  <c r="C12" i="3"/>
  <c r="C47" i="3"/>
  <c r="C7" i="3"/>
  <c r="C41" i="3"/>
  <c r="K6" i="5"/>
  <c r="J33" i="3"/>
  <c r="J29" i="3"/>
  <c r="AC11" i="3"/>
  <c r="AC9" i="3"/>
  <c r="AC41" i="3"/>
  <c r="J87" i="3"/>
  <c r="J30" i="3"/>
  <c r="AC42" i="3"/>
  <c r="J32" i="3"/>
  <c r="Y32" i="3"/>
  <c r="AC43" i="3"/>
  <c r="AC31" i="3"/>
  <c r="AC47" i="3"/>
  <c r="AC40" i="3"/>
  <c r="AC29" i="3"/>
  <c r="J43" i="3"/>
  <c r="AC30" i="3"/>
  <c r="AC45" i="3"/>
  <c r="Q142" i="5"/>
  <c r="L142" i="5"/>
  <c r="T71" i="3" s="1"/>
  <c r="T73" i="3" s="1"/>
  <c r="T74" i="3" s="1"/>
  <c r="T75" i="3" s="1"/>
  <c r="T72" i="3" s="1"/>
  <c r="J142" i="5"/>
  <c r="T39" i="3" s="1"/>
  <c r="R141" i="5"/>
  <c r="I142" i="5"/>
  <c r="T35" i="3" s="1"/>
  <c r="J103" i="3"/>
  <c r="J59" i="3"/>
  <c r="J45" i="3"/>
  <c r="AC13" i="3"/>
  <c r="AC82" i="3" s="1"/>
  <c r="E5" i="5"/>
  <c r="T5" i="5" s="1"/>
  <c r="F105" i="3"/>
  <c r="J31" i="3"/>
  <c r="J50" i="3"/>
  <c r="L51" i="3"/>
  <c r="L37" i="3"/>
  <c r="J36" i="3"/>
  <c r="AC44" i="3"/>
  <c r="AC28" i="3"/>
  <c r="Y24" i="3"/>
  <c r="J7" i="3"/>
  <c r="J9" i="3"/>
  <c r="J13" i="3"/>
  <c r="J11" i="3"/>
  <c r="AC8" i="3"/>
  <c r="AC80" i="3" s="1"/>
  <c r="I164" i="5"/>
  <c r="R164" i="5" s="1"/>
  <c r="E142" i="5"/>
  <c r="T4" i="3" s="1"/>
  <c r="R122" i="5"/>
  <c r="Z21" i="7"/>
  <c r="AB21" i="7" s="1"/>
  <c r="AC50" i="3"/>
  <c r="J43" i="5"/>
  <c r="J46" i="5" s="1"/>
  <c r="M39" i="3" s="1"/>
  <c r="AC36" i="3"/>
  <c r="G43" i="5"/>
  <c r="G46" i="5" s="1"/>
  <c r="M24" i="3" s="1"/>
  <c r="M25" i="3" s="1"/>
  <c r="K43" i="5"/>
  <c r="K46" i="5" s="1"/>
  <c r="M57" i="3" s="1"/>
  <c r="Q46" i="5"/>
  <c r="H43" i="5"/>
  <c r="H46" i="5" s="1"/>
  <c r="M27" i="3" s="1"/>
  <c r="L43" i="5"/>
  <c r="L46" i="5" s="1"/>
  <c r="M71" i="3" s="1"/>
  <c r="N43" i="5"/>
  <c r="N46" i="5" s="1"/>
  <c r="M87" i="3" s="1"/>
  <c r="M43" i="5"/>
  <c r="M46" i="5" s="1"/>
  <c r="M49" i="3" s="1"/>
  <c r="M50" i="3" s="1"/>
  <c r="E43" i="5"/>
  <c r="E46" i="5" s="1"/>
  <c r="H67" i="5"/>
  <c r="R37" i="5"/>
  <c r="R32" i="5"/>
  <c r="AC87" i="3"/>
  <c r="AC33" i="3"/>
  <c r="L34" i="3"/>
  <c r="J28" i="3"/>
  <c r="J67" i="5"/>
  <c r="N39" i="3" s="1"/>
  <c r="C53" i="3"/>
  <c r="C54" i="3" s="1"/>
  <c r="C45" i="3"/>
  <c r="C73" i="3"/>
  <c r="C13" i="3"/>
  <c r="C87" i="3"/>
  <c r="C88" i="3" s="1"/>
  <c r="C22" i="3"/>
  <c r="C28" i="3"/>
  <c r="C40" i="3"/>
  <c r="C42" i="3"/>
  <c r="C17" i="3"/>
  <c r="C11" i="3"/>
  <c r="C50" i="3"/>
  <c r="C51" i="3" s="1"/>
  <c r="C10" i="3"/>
  <c r="C8" i="3"/>
  <c r="C60" i="3"/>
  <c r="C33" i="3"/>
  <c r="C30" i="3"/>
  <c r="C67" i="3"/>
  <c r="C5" i="3"/>
  <c r="C32" i="3"/>
  <c r="C72" i="3"/>
  <c r="C31" i="3"/>
  <c r="C29" i="3"/>
  <c r="C6" i="3"/>
  <c r="C58" i="3"/>
  <c r="C20" i="3"/>
  <c r="C44" i="3"/>
  <c r="C36" i="3"/>
  <c r="C19" i="3"/>
  <c r="C75" i="3"/>
  <c r="C21" i="3"/>
  <c r="C66" i="3"/>
  <c r="C46" i="3"/>
  <c r="C43" i="3"/>
  <c r="C9" i="3"/>
  <c r="C18" i="3"/>
  <c r="R65" i="5"/>
  <c r="R44" i="5"/>
  <c r="R38" i="5"/>
  <c r="R59" i="5"/>
  <c r="K67" i="5"/>
  <c r="N57" i="3" s="1"/>
  <c r="P43" i="5"/>
  <c r="P46" i="5" s="1"/>
  <c r="M99" i="3" s="1"/>
  <c r="P67" i="5"/>
  <c r="N99" i="3" s="1"/>
  <c r="M67" i="5"/>
  <c r="N49" i="3" s="1"/>
  <c r="N50" i="3" s="1"/>
  <c r="I53" i="5"/>
  <c r="I67" i="5" s="1"/>
  <c r="R33" i="5"/>
  <c r="R26" i="5"/>
  <c r="N67" i="5"/>
  <c r="N87" i="3" s="1"/>
  <c r="R31" i="5"/>
  <c r="E67" i="5"/>
  <c r="N4" i="3" s="1"/>
  <c r="R25" i="5"/>
  <c r="Y39" i="3"/>
  <c r="J44" i="3"/>
  <c r="L14" i="3"/>
  <c r="BB19" i="3"/>
  <c r="L48" i="3"/>
  <c r="AB5" i="7" l="1"/>
  <c r="D112" i="5" s="1"/>
  <c r="Q79" i="5"/>
  <c r="R11" i="5"/>
  <c r="Q67" i="5"/>
  <c r="T103" i="3"/>
  <c r="C76" i="3"/>
  <c r="S195" i="6"/>
  <c r="L79" i="5" s="1"/>
  <c r="L113" i="5"/>
  <c r="M63" i="3"/>
  <c r="M58" i="3"/>
  <c r="J113" i="5"/>
  <c r="N58" i="3"/>
  <c r="N63" i="3"/>
  <c r="N92" i="3"/>
  <c r="N93" i="3"/>
  <c r="T92" i="3"/>
  <c r="T94" i="3" s="1"/>
  <c r="T93" i="3"/>
  <c r="J74" i="3"/>
  <c r="N94" i="3"/>
  <c r="N91" i="3"/>
  <c r="S227" i="6"/>
  <c r="P79" i="5" s="1"/>
  <c r="S28" i="6"/>
  <c r="H79" i="5" s="1"/>
  <c r="S67" i="6"/>
  <c r="J79" i="5" s="1"/>
  <c r="S330" i="6"/>
  <c r="O79" i="5" s="1"/>
  <c r="S5" i="6"/>
  <c r="I79" i="5" s="1"/>
  <c r="S336" i="6"/>
  <c r="F79" i="5" s="1"/>
  <c r="S271" i="6"/>
  <c r="N79" i="5" s="1"/>
  <c r="S135" i="6"/>
  <c r="K79" i="5" s="1"/>
  <c r="S114" i="6"/>
  <c r="E79" i="5" s="1"/>
  <c r="S21" i="6"/>
  <c r="G79" i="5" s="1"/>
  <c r="S84" i="6"/>
  <c r="M79" i="5" s="1"/>
  <c r="J73" i="3"/>
  <c r="F149" i="5"/>
  <c r="F153" i="5"/>
  <c r="F168" i="5"/>
  <c r="O112" i="5"/>
  <c r="F112" i="5"/>
  <c r="M94" i="3"/>
  <c r="M92" i="3"/>
  <c r="M91" i="3"/>
  <c r="I330" i="6"/>
  <c r="K330" i="6" s="1"/>
  <c r="K338" i="6" s="1"/>
  <c r="K340" i="6" s="1"/>
  <c r="C109" i="3" s="1"/>
  <c r="C96" i="3"/>
  <c r="M103" i="3"/>
  <c r="N103" i="3"/>
  <c r="R142" i="5"/>
  <c r="J12" i="3"/>
  <c r="N75" i="3"/>
  <c r="N72" i="3"/>
  <c r="K112" i="5"/>
  <c r="G113" i="5"/>
  <c r="O113" i="5"/>
  <c r="O153" i="5"/>
  <c r="O168" i="5"/>
  <c r="O149" i="5"/>
  <c r="Y57" i="3"/>
  <c r="N74" i="3"/>
  <c r="J112" i="5"/>
  <c r="N113" i="5"/>
  <c r="E113" i="5"/>
  <c r="K113" i="5"/>
  <c r="M113" i="5"/>
  <c r="I113" i="5"/>
  <c r="P113" i="5"/>
  <c r="H113" i="5"/>
  <c r="J6" i="3"/>
  <c r="AB24" i="7"/>
  <c r="D114" i="5" s="1"/>
  <c r="F114" i="5" s="1"/>
  <c r="H112" i="5"/>
  <c r="E112" i="5"/>
  <c r="M112" i="5"/>
  <c r="G112" i="5"/>
  <c r="I112" i="5"/>
  <c r="N112" i="5"/>
  <c r="L112" i="5"/>
  <c r="P112" i="5"/>
  <c r="Y4" i="3"/>
  <c r="J5" i="3"/>
  <c r="J10" i="3"/>
  <c r="Y71" i="3"/>
  <c r="Y27" i="3"/>
  <c r="T36" i="3"/>
  <c r="N60" i="3"/>
  <c r="N59" i="3"/>
  <c r="N27" i="3"/>
  <c r="N11" i="3"/>
  <c r="N13" i="3"/>
  <c r="N9" i="3"/>
  <c r="N7" i="3"/>
  <c r="N12" i="3"/>
  <c r="N8" i="3"/>
  <c r="N6" i="3"/>
  <c r="N10" i="3"/>
  <c r="N35" i="3"/>
  <c r="N36" i="3" s="1"/>
  <c r="N42" i="3"/>
  <c r="N46" i="3"/>
  <c r="N44" i="3"/>
  <c r="N41" i="3"/>
  <c r="N43" i="3"/>
  <c r="N47" i="3"/>
  <c r="N45" i="3"/>
  <c r="M4" i="3"/>
  <c r="M12" i="3" s="1"/>
  <c r="M59" i="3"/>
  <c r="M60" i="3"/>
  <c r="M30" i="3"/>
  <c r="M29" i="3"/>
  <c r="M31" i="3"/>
  <c r="M33" i="3"/>
  <c r="M32" i="3"/>
  <c r="M47" i="3"/>
  <c r="M41" i="3"/>
  <c r="M46" i="3"/>
  <c r="M44" i="3"/>
  <c r="M43" i="3"/>
  <c r="M45" i="3"/>
  <c r="M42" i="3"/>
  <c r="M35" i="3"/>
  <c r="M36" i="3" s="1"/>
  <c r="R5" i="5"/>
  <c r="F163" i="5" s="1"/>
  <c r="C37" i="3"/>
  <c r="T46" i="3"/>
  <c r="T47" i="3"/>
  <c r="T42" i="3"/>
  <c r="T43" i="3"/>
  <c r="T41" i="3"/>
  <c r="T45" i="3"/>
  <c r="T44" i="3"/>
  <c r="T5" i="3"/>
  <c r="T8" i="3"/>
  <c r="T10" i="3"/>
  <c r="T9" i="3"/>
  <c r="T11" i="3"/>
  <c r="T13" i="3"/>
  <c r="T7" i="3"/>
  <c r="T12" i="3"/>
  <c r="T6" i="3"/>
  <c r="Q168" i="5"/>
  <c r="H168" i="5"/>
  <c r="P168" i="5"/>
  <c r="G168" i="5"/>
  <c r="N168" i="5"/>
  <c r="M168" i="5"/>
  <c r="L168" i="5"/>
  <c r="K168" i="5"/>
  <c r="J168" i="5"/>
  <c r="I168" i="5"/>
  <c r="Q149" i="5"/>
  <c r="H149" i="5"/>
  <c r="P149" i="5"/>
  <c r="G149" i="5"/>
  <c r="K149" i="5"/>
  <c r="N149" i="5"/>
  <c r="M149" i="5"/>
  <c r="L149" i="5"/>
  <c r="J149" i="5"/>
  <c r="I149" i="5"/>
  <c r="R43" i="5"/>
  <c r="Y43" i="5" s="1"/>
  <c r="T28" i="3"/>
  <c r="R53" i="5"/>
  <c r="R67" i="5" s="1"/>
  <c r="H153" i="5"/>
  <c r="K153" i="5"/>
  <c r="T33" i="3"/>
  <c r="T29" i="3"/>
  <c r="T31" i="3"/>
  <c r="T32" i="3"/>
  <c r="E153" i="5"/>
  <c r="E149" i="5"/>
  <c r="Q153" i="5"/>
  <c r="L153" i="5"/>
  <c r="P153" i="5"/>
  <c r="M153" i="5"/>
  <c r="G153" i="5"/>
  <c r="N153" i="5"/>
  <c r="I153" i="5"/>
  <c r="E168" i="5"/>
  <c r="J153" i="5"/>
  <c r="T30" i="3"/>
  <c r="N40" i="3"/>
  <c r="C61" i="3"/>
  <c r="C34" i="3"/>
  <c r="C48" i="3"/>
  <c r="C23" i="3"/>
  <c r="C14" i="3"/>
  <c r="M40" i="3"/>
  <c r="M28" i="3"/>
  <c r="M75" i="3"/>
  <c r="M72" i="3"/>
  <c r="M74" i="3"/>
  <c r="M73" i="3"/>
  <c r="N5" i="3"/>
  <c r="BB20" i="3"/>
  <c r="T40" i="3"/>
  <c r="BB18" i="3"/>
  <c r="R46" i="5" l="1"/>
  <c r="N114" i="5"/>
  <c r="N115" i="5" s="1"/>
  <c r="S87" i="3" s="1"/>
  <c r="F115" i="5"/>
  <c r="C105" i="3"/>
  <c r="C108" i="3" s="1"/>
  <c r="O6" i="5"/>
  <c r="R6" i="5" s="1"/>
  <c r="R113" i="5"/>
  <c r="F169" i="5"/>
  <c r="Q163" i="5"/>
  <c r="Q169" i="5" s="1"/>
  <c r="O163" i="5"/>
  <c r="O169" i="5" s="1"/>
  <c r="W90" i="3" s="1"/>
  <c r="W91" i="3" s="1"/>
  <c r="G114" i="5"/>
  <c r="G115" i="5" s="1"/>
  <c r="S24" i="3" s="1"/>
  <c r="S25" i="3" s="1"/>
  <c r="O114" i="5"/>
  <c r="O115" i="5" s="1"/>
  <c r="S90" i="3" s="1"/>
  <c r="S91" i="3" s="1"/>
  <c r="M114" i="5"/>
  <c r="M115" i="5" s="1"/>
  <c r="S49" i="3" s="1"/>
  <c r="T50" i="3" s="1"/>
  <c r="H114" i="5"/>
  <c r="H115" i="5" s="1"/>
  <c r="S27" i="3" s="1"/>
  <c r="S30" i="3" s="1"/>
  <c r="E114" i="5"/>
  <c r="E115" i="5" s="1"/>
  <c r="S4" i="3" s="1"/>
  <c r="L114" i="5"/>
  <c r="L115" i="5" s="1"/>
  <c r="S71" i="3" s="1"/>
  <c r="S73" i="3" s="1"/>
  <c r="S74" i="3" s="1"/>
  <c r="S75" i="3" s="1"/>
  <c r="S72" i="3" s="1"/>
  <c r="K114" i="5"/>
  <c r="K115" i="5" s="1"/>
  <c r="S57" i="3" s="1"/>
  <c r="S59" i="3" s="1"/>
  <c r="I114" i="5"/>
  <c r="I115" i="5" s="1"/>
  <c r="S35" i="3" s="1"/>
  <c r="S36" i="3" s="1"/>
  <c r="J114" i="5"/>
  <c r="J115" i="5" s="1"/>
  <c r="S39" i="3" s="1"/>
  <c r="S41" i="3" s="1"/>
  <c r="P114" i="5"/>
  <c r="R112" i="5"/>
  <c r="M11" i="3"/>
  <c r="M5" i="3"/>
  <c r="M7" i="3"/>
  <c r="M8" i="3"/>
  <c r="M6" i="3"/>
  <c r="M9" i="3"/>
  <c r="N30" i="3"/>
  <c r="N33" i="3"/>
  <c r="N31" i="3"/>
  <c r="N29" i="3"/>
  <c r="N32" i="3"/>
  <c r="M13" i="3"/>
  <c r="N28" i="3"/>
  <c r="M10" i="3"/>
  <c r="H163" i="5"/>
  <c r="H169" i="5" s="1"/>
  <c r="N163" i="5"/>
  <c r="N169" i="5" s="1"/>
  <c r="W87" i="3" s="1"/>
  <c r="M163" i="5"/>
  <c r="M169" i="5" s="1"/>
  <c r="W49" i="3" s="1"/>
  <c r="W50" i="3" s="1"/>
  <c r="E163" i="5"/>
  <c r="E169" i="5" s="1"/>
  <c r="W4" i="3" s="1"/>
  <c r="J163" i="5"/>
  <c r="J169" i="5" s="1"/>
  <c r="W39" i="3" s="1"/>
  <c r="K163" i="5"/>
  <c r="K169" i="5" s="1"/>
  <c r="P163" i="5"/>
  <c r="P169" i="5" s="1"/>
  <c r="W99" i="3" s="1"/>
  <c r="G163" i="5"/>
  <c r="G169" i="5" s="1"/>
  <c r="L163" i="5"/>
  <c r="L169" i="5" s="1"/>
  <c r="I169" i="5"/>
  <c r="W35" i="3" s="1"/>
  <c r="W36" i="3" s="1"/>
  <c r="R168" i="5"/>
  <c r="R153" i="5"/>
  <c r="R149" i="5"/>
  <c r="S92" i="3" l="1"/>
  <c r="S94" i="3" s="1"/>
  <c r="S93" i="3"/>
  <c r="W92" i="3"/>
  <c r="W94" i="3" s="1"/>
  <c r="W93" i="3"/>
  <c r="P115" i="5"/>
  <c r="S103" i="3" s="1"/>
  <c r="T6" i="5"/>
  <c r="M81" i="5" s="1"/>
  <c r="P49" i="3" s="1"/>
  <c r="P50" i="3" s="1"/>
  <c r="O81" i="5"/>
  <c r="P90" i="3" s="1"/>
  <c r="L81" i="5"/>
  <c r="P71" i="3" s="1"/>
  <c r="P72" i="3" s="1"/>
  <c r="Z72" i="3" s="1"/>
  <c r="AD72" i="3" s="1"/>
  <c r="S33" i="3"/>
  <c r="S32" i="3"/>
  <c r="S29" i="3"/>
  <c r="S31" i="3"/>
  <c r="W103" i="3"/>
  <c r="S28" i="3"/>
  <c r="R114" i="5"/>
  <c r="S40" i="3"/>
  <c r="S43" i="3"/>
  <c r="S44" i="3"/>
  <c r="S42" i="3"/>
  <c r="S50" i="3"/>
  <c r="S46" i="3"/>
  <c r="S45" i="3"/>
  <c r="S47" i="3"/>
  <c r="S5" i="3"/>
  <c r="S13" i="3"/>
  <c r="S10" i="3"/>
  <c r="S7" i="3"/>
  <c r="S8" i="3"/>
  <c r="S9" i="3"/>
  <c r="S12" i="3"/>
  <c r="S11" i="3"/>
  <c r="S6" i="3"/>
  <c r="R163" i="5"/>
  <c r="W71" i="3"/>
  <c r="W73" i="3" s="1"/>
  <c r="W74" i="3" s="1"/>
  <c r="W75" i="3" s="1"/>
  <c r="W72" i="3" s="1"/>
  <c r="W57" i="3"/>
  <c r="W63" i="3" s="1"/>
  <c r="W41" i="3"/>
  <c r="W42" i="3"/>
  <c r="W43" i="3"/>
  <c r="W44" i="3"/>
  <c r="W45" i="3"/>
  <c r="W47" i="3"/>
  <c r="W46" i="3"/>
  <c r="W27" i="3"/>
  <c r="W24" i="3"/>
  <c r="W25" i="3" s="1"/>
  <c r="W6" i="3"/>
  <c r="W12" i="3"/>
  <c r="W7" i="3"/>
  <c r="W13" i="3"/>
  <c r="W11" i="3"/>
  <c r="W9" i="3"/>
  <c r="W10" i="3"/>
  <c r="W8" i="3"/>
  <c r="W40" i="3"/>
  <c r="W5" i="3"/>
  <c r="S99" i="3" l="1"/>
  <c r="G104" i="5"/>
  <c r="Q24" i="3" s="1"/>
  <c r="Q25" i="3" s="1"/>
  <c r="AA25" i="3" s="1"/>
  <c r="P92" i="3"/>
  <c r="Z92" i="3" s="1"/>
  <c r="AD92" i="3" s="1"/>
  <c r="P93" i="3"/>
  <c r="Z93" i="3" s="1"/>
  <c r="AD93" i="3" s="1"/>
  <c r="J104" i="5"/>
  <c r="Q39" i="3" s="1"/>
  <c r="Q46" i="3" s="1"/>
  <c r="AA46" i="3" s="1"/>
  <c r="AE46" i="3" s="1"/>
  <c r="E81" i="5"/>
  <c r="P4" i="3" s="1"/>
  <c r="P5" i="3" s="1"/>
  <c r="O104" i="5"/>
  <c r="Q90" i="3" s="1"/>
  <c r="I104" i="5"/>
  <c r="Q35" i="3" s="1"/>
  <c r="Q36" i="3" s="1"/>
  <c r="AA36" i="3" s="1"/>
  <c r="AE36" i="3" s="1"/>
  <c r="H81" i="5"/>
  <c r="P27" i="3" s="1"/>
  <c r="Z27" i="3" s="1"/>
  <c r="G81" i="5"/>
  <c r="P24" i="3" s="1"/>
  <c r="P25" i="3" s="1"/>
  <c r="Z25" i="3" s="1"/>
  <c r="Z24" i="3" s="1"/>
  <c r="H104" i="5"/>
  <c r="Q27" i="3" s="1"/>
  <c r="Q31" i="3" s="1"/>
  <c r="F104" i="5"/>
  <c r="K104" i="5"/>
  <c r="Q57" i="3" s="1"/>
  <c r="P104" i="5"/>
  <c r="F81" i="5"/>
  <c r="N81" i="5"/>
  <c r="P87" i="3" s="1"/>
  <c r="Z87" i="3" s="1"/>
  <c r="AD87" i="3" s="1"/>
  <c r="L104" i="5"/>
  <c r="Q71" i="3" s="1"/>
  <c r="Q75" i="3" s="1"/>
  <c r="AA75" i="3" s="1"/>
  <c r="AE75" i="3" s="1"/>
  <c r="Q81" i="5"/>
  <c r="J81" i="5"/>
  <c r="P39" i="3" s="1"/>
  <c r="P44" i="3" s="1"/>
  <c r="Z44" i="3" s="1"/>
  <c r="AD44" i="3" s="1"/>
  <c r="Q104" i="5"/>
  <c r="K81" i="5"/>
  <c r="P57" i="3" s="1"/>
  <c r="I81" i="5"/>
  <c r="P35" i="3" s="1"/>
  <c r="P36" i="3" s="1"/>
  <c r="Z36" i="3" s="1"/>
  <c r="AD36" i="3" s="1"/>
  <c r="Z50" i="3"/>
  <c r="AD50" i="3" s="1"/>
  <c r="P81" i="5"/>
  <c r="M104" i="5"/>
  <c r="Q49" i="3" s="1"/>
  <c r="Q50" i="3" s="1"/>
  <c r="AA50" i="3" s="1"/>
  <c r="AE50" i="3" s="1"/>
  <c r="N104" i="5"/>
  <c r="Q87" i="3" s="1"/>
  <c r="AA87" i="3" s="1"/>
  <c r="AE87" i="3" s="1"/>
  <c r="E104" i="5"/>
  <c r="Q4" i="3" s="1"/>
  <c r="AA4" i="3" s="1"/>
  <c r="P74" i="3"/>
  <c r="Z74" i="3" s="1"/>
  <c r="AD74" i="3" s="1"/>
  <c r="P75" i="3"/>
  <c r="Z75" i="3" s="1"/>
  <c r="AD75" i="3" s="1"/>
  <c r="P94" i="3"/>
  <c r="Z94" i="3" s="1"/>
  <c r="AD94" i="3" s="1"/>
  <c r="P73" i="3"/>
  <c r="Z73" i="3" s="1"/>
  <c r="AD73" i="3" s="1"/>
  <c r="P91" i="3"/>
  <c r="Z91" i="3" s="1"/>
  <c r="AD91" i="3" s="1"/>
  <c r="W29" i="3"/>
  <c r="W58" i="3"/>
  <c r="W60" i="3"/>
  <c r="W59" i="3"/>
  <c r="W28" i="3"/>
  <c r="W32" i="3"/>
  <c r="W31" i="3"/>
  <c r="W30" i="3"/>
  <c r="W33" i="3"/>
  <c r="BB66" i="3"/>
  <c r="BB67" i="3"/>
  <c r="Z5" i="3" l="1"/>
  <c r="AD5" i="3" s="1"/>
  <c r="AD77" i="3" s="1"/>
  <c r="P59" i="3"/>
  <c r="Z59" i="3" s="1"/>
  <c r="AD59" i="3" s="1"/>
  <c r="P63" i="3"/>
  <c r="Z63" i="3" s="1"/>
  <c r="AD63" i="3" s="1"/>
  <c r="Q59" i="3"/>
  <c r="AA59" i="3" s="1"/>
  <c r="AE59" i="3" s="1"/>
  <c r="Q63" i="3"/>
  <c r="AA63" i="3" s="1"/>
  <c r="AE63" i="3" s="1"/>
  <c r="Q94" i="3"/>
  <c r="AA94" i="3" s="1"/>
  <c r="AE94" i="3" s="1"/>
  <c r="AF94" i="3" s="1"/>
  <c r="Q93" i="3"/>
  <c r="AA93" i="3" s="1"/>
  <c r="AE93" i="3" s="1"/>
  <c r="AF93" i="3" s="1"/>
  <c r="Q92" i="3"/>
  <c r="AA92" i="3" s="1"/>
  <c r="AE92" i="3" s="1"/>
  <c r="AF92" i="3" s="1"/>
  <c r="AA39" i="3"/>
  <c r="Q47" i="3"/>
  <c r="AA47" i="3" s="1"/>
  <c r="AE47" i="3" s="1"/>
  <c r="Q41" i="3"/>
  <c r="AA41" i="3" s="1"/>
  <c r="AE41" i="3" s="1"/>
  <c r="P10" i="3"/>
  <c r="Z10" i="3" s="1"/>
  <c r="AD10" i="3" s="1"/>
  <c r="AD81" i="3" s="1"/>
  <c r="P9" i="3"/>
  <c r="Z9" i="3" s="1"/>
  <c r="AD9" i="3" s="1"/>
  <c r="Z4" i="3"/>
  <c r="P11" i="3"/>
  <c r="Z11" i="3" s="1"/>
  <c r="AD11" i="3" s="1"/>
  <c r="P7" i="3"/>
  <c r="P12" i="3"/>
  <c r="Z12" i="3" s="1"/>
  <c r="AD12" i="3" s="1"/>
  <c r="AD83" i="3" s="1"/>
  <c r="P13" i="3"/>
  <c r="Z13" i="3" s="1"/>
  <c r="AD13" i="3" s="1"/>
  <c r="AD82" i="3" s="1"/>
  <c r="P8" i="3"/>
  <c r="Z8" i="3" s="1"/>
  <c r="AD8" i="3" s="1"/>
  <c r="AD80" i="3" s="1"/>
  <c r="P6" i="3"/>
  <c r="Z6" i="3" s="1"/>
  <c r="AD6" i="3" s="1"/>
  <c r="AD78" i="3" s="1"/>
  <c r="Q42" i="3"/>
  <c r="AA42" i="3" s="1"/>
  <c r="AE42" i="3" s="1"/>
  <c r="Q43" i="3"/>
  <c r="AA43" i="3" s="1"/>
  <c r="AE43" i="3" s="1"/>
  <c r="Q45" i="3"/>
  <c r="AA45" i="3" s="1"/>
  <c r="AE45" i="3" s="1"/>
  <c r="Q40" i="3"/>
  <c r="AA40" i="3" s="1"/>
  <c r="AE40" i="3" s="1"/>
  <c r="Q44" i="3"/>
  <c r="AA44" i="3" s="1"/>
  <c r="AE44" i="3" s="1"/>
  <c r="AF44" i="3" s="1"/>
  <c r="AH44" i="3" s="1"/>
  <c r="Z57" i="3"/>
  <c r="P58" i="3"/>
  <c r="Z58" i="3" s="1"/>
  <c r="AD58" i="3" s="1"/>
  <c r="Q91" i="3"/>
  <c r="AA91" i="3" s="1"/>
  <c r="AE91" i="3" s="1"/>
  <c r="AF91" i="3" s="1"/>
  <c r="R104" i="5"/>
  <c r="Q33" i="3"/>
  <c r="AA33" i="3" s="1"/>
  <c r="AE33" i="3" s="1"/>
  <c r="Q28" i="3"/>
  <c r="AA28" i="3" s="1"/>
  <c r="AE28" i="3" s="1"/>
  <c r="P103" i="3"/>
  <c r="Z103" i="3" s="1"/>
  <c r="AD103" i="3" s="1"/>
  <c r="P99" i="3"/>
  <c r="Z99" i="3" s="1"/>
  <c r="AD99" i="3" s="1"/>
  <c r="Q103" i="3"/>
  <c r="AA103" i="3" s="1"/>
  <c r="AE103" i="3" s="1"/>
  <c r="Q99" i="3"/>
  <c r="AA99" i="3" s="1"/>
  <c r="AE99" i="3" s="1"/>
  <c r="AA31" i="3"/>
  <c r="AE31" i="3" s="1"/>
  <c r="Q60" i="3"/>
  <c r="AA60" i="3" s="1"/>
  <c r="AE60" i="3" s="1"/>
  <c r="AA57" i="3"/>
  <c r="P30" i="3"/>
  <c r="Z30" i="3" s="1"/>
  <c r="AD30" i="3" s="1"/>
  <c r="P47" i="3"/>
  <c r="Z47" i="3" s="1"/>
  <c r="AD47" i="3" s="1"/>
  <c r="Q58" i="3"/>
  <c r="AA58" i="3" s="1"/>
  <c r="AE58" i="3" s="1"/>
  <c r="Q30" i="3"/>
  <c r="AA30" i="3" s="1"/>
  <c r="AE30" i="3" s="1"/>
  <c r="AA27" i="3"/>
  <c r="Q29" i="3"/>
  <c r="AA29" i="3" s="1"/>
  <c r="AE29" i="3" s="1"/>
  <c r="Q32" i="3"/>
  <c r="AA32" i="3" s="1"/>
  <c r="AE32" i="3" s="1"/>
  <c r="AD25" i="3"/>
  <c r="P41" i="3"/>
  <c r="Z41" i="3" s="1"/>
  <c r="AD41" i="3" s="1"/>
  <c r="AF87" i="3"/>
  <c r="AH87" i="3" s="1"/>
  <c r="AF36" i="3"/>
  <c r="Z49" i="3"/>
  <c r="P40" i="3"/>
  <c r="Z40" i="3" s="1"/>
  <c r="AD40" i="3" s="1"/>
  <c r="R79" i="5"/>
  <c r="P42" i="3"/>
  <c r="Z42" i="3" s="1"/>
  <c r="AD42" i="3" s="1"/>
  <c r="P60" i="3"/>
  <c r="Z60" i="3" s="1"/>
  <c r="AD60" i="3" s="1"/>
  <c r="P31" i="3"/>
  <c r="Z31" i="3" s="1"/>
  <c r="AD31" i="3" s="1"/>
  <c r="P43" i="3"/>
  <c r="Z43" i="3" s="1"/>
  <c r="AD43" i="3" s="1"/>
  <c r="P45" i="3"/>
  <c r="Z45" i="3" s="1"/>
  <c r="AD45" i="3" s="1"/>
  <c r="P28" i="3"/>
  <c r="Z28" i="3" s="1"/>
  <c r="AD28" i="3" s="1"/>
  <c r="P33" i="3"/>
  <c r="Z33" i="3" s="1"/>
  <c r="AD33" i="3" s="1"/>
  <c r="AF50" i="3"/>
  <c r="AH50" i="3" s="1"/>
  <c r="Z39" i="3"/>
  <c r="P46" i="3"/>
  <c r="Z46" i="3" s="1"/>
  <c r="AD46" i="3" s="1"/>
  <c r="AF46" i="3" s="1"/>
  <c r="AH46" i="3" s="1"/>
  <c r="Q72" i="3"/>
  <c r="AA72" i="3" s="1"/>
  <c r="AE72" i="3" s="1"/>
  <c r="AF72" i="3" s="1"/>
  <c r="Q73" i="3"/>
  <c r="AA73" i="3" s="1"/>
  <c r="AE73" i="3" s="1"/>
  <c r="AF73" i="3" s="1"/>
  <c r="Q74" i="3"/>
  <c r="AA74" i="3" s="1"/>
  <c r="AE74" i="3" s="1"/>
  <c r="AF74" i="3" s="1"/>
  <c r="P32" i="3"/>
  <c r="Z32" i="3" s="1"/>
  <c r="P29" i="3"/>
  <c r="Z29" i="3" s="1"/>
  <c r="AD29" i="3" s="1"/>
  <c r="AA49" i="3"/>
  <c r="Q6" i="3"/>
  <c r="AA6" i="3" s="1"/>
  <c r="AE6" i="3" s="1"/>
  <c r="AE78" i="3" s="1"/>
  <c r="Q13" i="3"/>
  <c r="AA13" i="3" s="1"/>
  <c r="AE13" i="3" s="1"/>
  <c r="AE82" i="3" s="1"/>
  <c r="Q5" i="3"/>
  <c r="AA5" i="3" s="1"/>
  <c r="AE5" i="3" s="1"/>
  <c r="AE77" i="3" s="1"/>
  <c r="Q7" i="3"/>
  <c r="AA7" i="3" s="1"/>
  <c r="AE7" i="3" s="1"/>
  <c r="AE79" i="3" s="1"/>
  <c r="Q12" i="3"/>
  <c r="AA12" i="3" s="1"/>
  <c r="AE12" i="3" s="1"/>
  <c r="AE83" i="3" s="1"/>
  <c r="Q10" i="3"/>
  <c r="AA10" i="3" s="1"/>
  <c r="AE10" i="3" s="1"/>
  <c r="AE81" i="3" s="1"/>
  <c r="Q9" i="3"/>
  <c r="AA9" i="3" s="1"/>
  <c r="AE9" i="3" s="1"/>
  <c r="Q8" i="3"/>
  <c r="AA8" i="3" s="1"/>
  <c r="AE8" i="3" s="1"/>
  <c r="AE80" i="3" s="1"/>
  <c r="Q11" i="3"/>
  <c r="AA11" i="3" s="1"/>
  <c r="AE11" i="3" s="1"/>
  <c r="AF75" i="3"/>
  <c r="Z71" i="3"/>
  <c r="AA24" i="3"/>
  <c r="AE25" i="3"/>
  <c r="AF83" i="3" l="1"/>
  <c r="AF82" i="3"/>
  <c r="AF81" i="3"/>
  <c r="AF80" i="3"/>
  <c r="AF78" i="3"/>
  <c r="AF77" i="3"/>
  <c r="AH92" i="3"/>
  <c r="AH93" i="3"/>
  <c r="AH94" i="3"/>
  <c r="AH91" i="3"/>
  <c r="AH73" i="3"/>
  <c r="AH72" i="3"/>
  <c r="AH75" i="3"/>
  <c r="AH74" i="3"/>
  <c r="AH36" i="3"/>
  <c r="BB92" i="3"/>
  <c r="BB93" i="3"/>
  <c r="BB94" i="3"/>
  <c r="BB91" i="3"/>
  <c r="BB87" i="3"/>
  <c r="BB72" i="3"/>
  <c r="BB73" i="3"/>
  <c r="BB75" i="3"/>
  <c r="BB74" i="3"/>
  <c r="BB50" i="3"/>
  <c r="BB46" i="3"/>
  <c r="BB44" i="3"/>
  <c r="BB36" i="3"/>
  <c r="AF5" i="3"/>
  <c r="AF59" i="3"/>
  <c r="AH59" i="3" s="1"/>
  <c r="AF63" i="3"/>
  <c r="AH63" i="3" s="1"/>
  <c r="Z7" i="3"/>
  <c r="AD7" i="3" s="1"/>
  <c r="AF11" i="3"/>
  <c r="AF10" i="3"/>
  <c r="AF47" i="3"/>
  <c r="AH47" i="3" s="1"/>
  <c r="AF13" i="3"/>
  <c r="AF41" i="3"/>
  <c r="AH41" i="3" s="1"/>
  <c r="AF8" i="3"/>
  <c r="AF12" i="3"/>
  <c r="AF9" i="3"/>
  <c r="AF6" i="3"/>
  <c r="AF40" i="3"/>
  <c r="AH40" i="3" s="1"/>
  <c r="AF42" i="3"/>
  <c r="AH42" i="3" s="1"/>
  <c r="AF45" i="3"/>
  <c r="AH45" i="3" s="1"/>
  <c r="AF43" i="3"/>
  <c r="AH43" i="3" s="1"/>
  <c r="AF103" i="3"/>
  <c r="AH103" i="3" s="1"/>
  <c r="AF58" i="3"/>
  <c r="AH58" i="3" s="1"/>
  <c r="AF99" i="3"/>
  <c r="AH99" i="3" s="1"/>
  <c r="AF31" i="3"/>
  <c r="AH31" i="3" s="1"/>
  <c r="AF30" i="3"/>
  <c r="AH30" i="3" s="1"/>
  <c r="AF25" i="3"/>
  <c r="AF33" i="3"/>
  <c r="AH33" i="3" s="1"/>
  <c r="AF32" i="3"/>
  <c r="AH32" i="3" s="1"/>
  <c r="AF29" i="3"/>
  <c r="AH29" i="3" s="1"/>
  <c r="AF60" i="3"/>
  <c r="AH60" i="3" s="1"/>
  <c r="AF28" i="3"/>
  <c r="AH28" i="3" s="1"/>
  <c r="AA71" i="3"/>
  <c r="AH78" i="3" l="1"/>
  <c r="AO78" i="3"/>
  <c r="AH80" i="3"/>
  <c r="AO80" i="3"/>
  <c r="AH81" i="3"/>
  <c r="AO81" i="3"/>
  <c r="AH82" i="3"/>
  <c r="AO82" i="3"/>
  <c r="AH83" i="3"/>
  <c r="AO83" i="3"/>
  <c r="AH77" i="3"/>
  <c r="AO77" i="3"/>
  <c r="AF7" i="3"/>
  <c r="BB7" i="3" s="1"/>
  <c r="AD79" i="3"/>
  <c r="AF79" i="3" s="1"/>
  <c r="AH25" i="3"/>
  <c r="AH12" i="3"/>
  <c r="AH13" i="3"/>
  <c r="AH8" i="3"/>
  <c r="AH10" i="3"/>
  <c r="AH6" i="3"/>
  <c r="AH11" i="3"/>
  <c r="AH9" i="3"/>
  <c r="AH5" i="3"/>
  <c r="BB103" i="3"/>
  <c r="BB99" i="3"/>
  <c r="BB63" i="3"/>
  <c r="BB58" i="3"/>
  <c r="BB59" i="3"/>
  <c r="BB60" i="3"/>
  <c r="BB47" i="3"/>
  <c r="BB45" i="3"/>
  <c r="BB41" i="3"/>
  <c r="BB43" i="3"/>
  <c r="BB42" i="3"/>
  <c r="BB40" i="3"/>
  <c r="BB33" i="3"/>
  <c r="BB28" i="3"/>
  <c r="BB31" i="3"/>
  <c r="BB29" i="3"/>
  <c r="BB30" i="3"/>
  <c r="BB32" i="3"/>
  <c r="BB25" i="3"/>
  <c r="BB13" i="3"/>
  <c r="BB10" i="3"/>
  <c r="BB11" i="3"/>
  <c r="BB9" i="3"/>
  <c r="BB8" i="3"/>
  <c r="BB6" i="3"/>
  <c r="BB12" i="3"/>
  <c r="BB5" i="3"/>
  <c r="AH79" i="3" l="1"/>
  <c r="AO79" i="3"/>
  <c r="AH7" i="3"/>
  <c r="AF105" i="3"/>
  <c r="AH105" i="3" s="1"/>
  <c r="BB3" i="3"/>
  <c r="BB10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Garth Paris</author>
  </authors>
  <commentList>
    <comment ref="AF3" authorId="0" shapeId="0" xr:uid="{9634B13B-C543-4DD1-88C6-D29477A65FAA}">
      <text>
        <r>
          <rPr>
            <b/>
            <sz val="9"/>
            <color indexed="81"/>
            <rFont val="Tahoma"/>
            <family val="2"/>
          </rPr>
          <t>Garth Paris: 2023/02</t>
        </r>
        <r>
          <rPr>
            <sz val="9"/>
            <color indexed="81"/>
            <rFont val="Tahoma"/>
            <family val="2"/>
          </rPr>
          <t xml:space="preserve">
Damper:
Removed 1 Replacement
Manufactyring:
Removed 1 Replacement</t>
        </r>
      </text>
    </comment>
    <comment ref="AL3" authorId="0" shapeId="0" xr:uid="{F19C8CDB-5601-44E9-A2C4-3EE4EC639FD1}">
      <text>
        <r>
          <rPr>
            <b/>
            <sz val="9"/>
            <color indexed="81"/>
            <rFont val="Tahoma"/>
            <family val="2"/>
          </rPr>
          <t>Garth Paris: 2023/02</t>
        </r>
        <r>
          <rPr>
            <sz val="9"/>
            <color indexed="81"/>
            <rFont val="Tahoma"/>
            <family val="2"/>
          </rPr>
          <t xml:space="preserve">
Damper:
Removed 1 Replacement
Manufactyring:
Removed 1 Replacement</t>
        </r>
      </text>
    </comment>
    <comment ref="A6" authorId="0" shapeId="0" xr:uid="{D02EBFC5-152B-4DB5-AF7B-9DA14AC7C1E8}">
      <text>
        <r>
          <rPr>
            <b/>
            <sz val="9"/>
            <color indexed="81"/>
            <rFont val="Tahoma"/>
            <family val="2"/>
          </rPr>
          <t>Garth Paris:</t>
        </r>
        <r>
          <rPr>
            <sz val="9"/>
            <color indexed="81"/>
            <rFont val="Tahoma"/>
            <family val="2"/>
          </rPr>
          <t xml:space="preserve">
Remember to Update PS00006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ROSyspro" type="1" refreshedVersion="8" background="1" saveData="1">
    <dbPr connection="DSN=ROSyspro;Description=ROSyspro;UID=Gparis;Trusted_Connection=Yes;APP=Microsoft Office 2010;WSID=ADMIN-GPARIS;DATABASE=SysproCompanyR" command="SELECT BomWorkCentre.WorkCentre, BomWorkCentre.Description, BomWorkCentre.RunTimeRate1, BomWorkCentre.FixOverRate1, BomWorkCentre.VarOverRate1_x000d__x000a_FROM SysproCompanyR.dbo.BomWorkCentre BomWorkCentre"/>
  </connection>
</connections>
</file>

<file path=xl/sharedStrings.xml><?xml version="1.0" encoding="utf-8"?>
<sst xmlns="http://schemas.openxmlformats.org/spreadsheetml/2006/main" count="4009" uniqueCount="1571">
  <si>
    <t>CON009J</t>
  </si>
  <si>
    <t>Erefaan</t>
  </si>
  <si>
    <t>Davids</t>
  </si>
  <si>
    <t>M</t>
  </si>
  <si>
    <t>C</t>
  </si>
  <si>
    <t>Diffuser Assemb</t>
  </si>
  <si>
    <t>DIFFUSER</t>
  </si>
  <si>
    <t>CON049</t>
  </si>
  <si>
    <t>Sean</t>
  </si>
  <si>
    <t>Ontong</t>
  </si>
  <si>
    <t>Supervisor</t>
  </si>
  <si>
    <t>DESPATCH</t>
  </si>
  <si>
    <t>CON118C</t>
  </si>
  <si>
    <t>Patrick</t>
  </si>
  <si>
    <t>Plaatjies</t>
  </si>
  <si>
    <t>Trumph Operator</t>
  </si>
  <si>
    <t>MANUFACTURING</t>
  </si>
  <si>
    <t>CON122D</t>
  </si>
  <si>
    <t>Abdul Moetaliep</t>
  </si>
  <si>
    <t>Isaacs</t>
  </si>
  <si>
    <t>PREPARATION</t>
  </si>
  <si>
    <t>CON132B</t>
  </si>
  <si>
    <t>Carswell</t>
  </si>
  <si>
    <t>Soggop</t>
  </si>
  <si>
    <t>Leading Hand/De</t>
  </si>
  <si>
    <t>CON142B</t>
  </si>
  <si>
    <t>Hendricks</t>
  </si>
  <si>
    <t>Press Operator</t>
  </si>
  <si>
    <t>Press Shop</t>
  </si>
  <si>
    <t>CON160A</t>
  </si>
  <si>
    <t>Mogamat Cassiem</t>
  </si>
  <si>
    <t>Trout</t>
  </si>
  <si>
    <t>DAMPER</t>
  </si>
  <si>
    <t>CON182</t>
  </si>
  <si>
    <t>Ismiel</t>
  </si>
  <si>
    <t>Karlie</t>
  </si>
  <si>
    <t>Driver</t>
  </si>
  <si>
    <t>CON184A</t>
  </si>
  <si>
    <t>Goodman</t>
  </si>
  <si>
    <t>Puza</t>
  </si>
  <si>
    <t>A</t>
  </si>
  <si>
    <t>Welder/Assemble</t>
  </si>
  <si>
    <t>CON260A</t>
  </si>
  <si>
    <t>Zameko</t>
  </si>
  <si>
    <t>Ndleleni</t>
  </si>
  <si>
    <t>Welder</t>
  </si>
  <si>
    <t>CON263</t>
  </si>
  <si>
    <t>Justin</t>
  </si>
  <si>
    <t>Van Buuren</t>
  </si>
  <si>
    <t>Leading Hand/We</t>
  </si>
  <si>
    <t>CON285</t>
  </si>
  <si>
    <t>Nkosiyethu</t>
  </si>
  <si>
    <t>Skeyi</t>
  </si>
  <si>
    <t>Electric Prep A</t>
  </si>
  <si>
    <t>CON308A</t>
  </si>
  <si>
    <t>Rodney</t>
  </si>
  <si>
    <t>Duiker</t>
  </si>
  <si>
    <t>Leading Hand</t>
  </si>
  <si>
    <t>STORES</t>
  </si>
  <si>
    <t>CON377B</t>
  </si>
  <si>
    <t>Shaheed</t>
  </si>
  <si>
    <t>Dreyer</t>
  </si>
  <si>
    <t>CON378</t>
  </si>
  <si>
    <t>Julian</t>
  </si>
  <si>
    <t>Roberts</t>
  </si>
  <si>
    <t>CON387</t>
  </si>
  <si>
    <t>Carmen</t>
  </si>
  <si>
    <t>Abrahams</t>
  </si>
  <si>
    <t>F</t>
  </si>
  <si>
    <t>Leading Hand/Po</t>
  </si>
  <si>
    <t>POWDER COATING</t>
  </si>
  <si>
    <t>CON389</t>
  </si>
  <si>
    <t>Petula</t>
  </si>
  <si>
    <t>Amos</t>
  </si>
  <si>
    <t>Damper Tester</t>
  </si>
  <si>
    <t>CON393A</t>
  </si>
  <si>
    <t>Richard</t>
  </si>
  <si>
    <t>Coakley</t>
  </si>
  <si>
    <t>CON398B</t>
  </si>
  <si>
    <t>Fabian</t>
  </si>
  <si>
    <t>CON403</t>
  </si>
  <si>
    <t>Shannon</t>
  </si>
  <si>
    <t>Baatjies</t>
  </si>
  <si>
    <t>CON422B</t>
  </si>
  <si>
    <t>Chadwinn</t>
  </si>
  <si>
    <t>Carelse</t>
  </si>
  <si>
    <t>DampReturn Air</t>
  </si>
  <si>
    <t>CON426B</t>
  </si>
  <si>
    <t>Louis</t>
  </si>
  <si>
    <t>Damper Assemble</t>
  </si>
  <si>
    <t>CON434A</t>
  </si>
  <si>
    <t>Clyde</t>
  </si>
  <si>
    <t>Fortuin</t>
  </si>
  <si>
    <t>Picker</t>
  </si>
  <si>
    <t>CON435B</t>
  </si>
  <si>
    <t>Revano</t>
  </si>
  <si>
    <t>Powder Coater/W</t>
  </si>
  <si>
    <t>CON436A</t>
  </si>
  <si>
    <t>Jermaine</t>
  </si>
  <si>
    <t>Baker</t>
  </si>
  <si>
    <t>Bending Brake O</t>
  </si>
  <si>
    <t>CON446</t>
  </si>
  <si>
    <t>Eugene</t>
  </si>
  <si>
    <t>Ruiters</t>
  </si>
  <si>
    <t>Driver- Code 10</t>
  </si>
  <si>
    <t>CON455D</t>
  </si>
  <si>
    <t>Nathan</t>
  </si>
  <si>
    <t>Foster</t>
  </si>
  <si>
    <t>All Rounder - M</t>
  </si>
  <si>
    <t>CON458A</t>
  </si>
  <si>
    <t>Raphael</t>
  </si>
  <si>
    <t>Amansure</t>
  </si>
  <si>
    <t>Guilotene Opera</t>
  </si>
  <si>
    <t>CON459B</t>
  </si>
  <si>
    <t>Gary</t>
  </si>
  <si>
    <t>Daniels</t>
  </si>
  <si>
    <t>CON463A</t>
  </si>
  <si>
    <t>Samir</t>
  </si>
  <si>
    <t>Mentin</t>
  </si>
  <si>
    <t>Damper Final El</t>
  </si>
  <si>
    <t>CON465D</t>
  </si>
  <si>
    <t>Shaun</t>
  </si>
  <si>
    <t>CON466C</t>
  </si>
  <si>
    <t>Saliem</t>
  </si>
  <si>
    <t>CON467B</t>
  </si>
  <si>
    <t>Beulah</t>
  </si>
  <si>
    <t>Morkel</t>
  </si>
  <si>
    <t>CON469B</t>
  </si>
  <si>
    <t>Reuben</t>
  </si>
  <si>
    <t>Presence</t>
  </si>
  <si>
    <t>CON473B</t>
  </si>
  <si>
    <t>Hydon</t>
  </si>
  <si>
    <t>Cupido</t>
  </si>
  <si>
    <t>CON490B</t>
  </si>
  <si>
    <t>Ashwin</t>
  </si>
  <si>
    <t>Geduld</t>
  </si>
  <si>
    <t>CON498A</t>
  </si>
  <si>
    <t>Elroy</t>
  </si>
  <si>
    <t>Hope</t>
  </si>
  <si>
    <t>Powder Coater</t>
  </si>
  <si>
    <t>CON502</t>
  </si>
  <si>
    <t>Mohammed Zaid</t>
  </si>
  <si>
    <t>Halliday</t>
  </si>
  <si>
    <t>CON509</t>
  </si>
  <si>
    <t>Ashley</t>
  </si>
  <si>
    <t>Lewin</t>
  </si>
  <si>
    <t>Packer</t>
  </si>
  <si>
    <t>CON510</t>
  </si>
  <si>
    <t>Petrus</t>
  </si>
  <si>
    <t>Francis</t>
  </si>
  <si>
    <t>Assembly</t>
  </si>
  <si>
    <t>Maintenance</t>
  </si>
  <si>
    <t>CON517</t>
  </si>
  <si>
    <t>Thulani</t>
  </si>
  <si>
    <t>Mabayi</t>
  </si>
  <si>
    <t>CON518</t>
  </si>
  <si>
    <t>Dora</t>
  </si>
  <si>
    <t>Makhundayi</t>
  </si>
  <si>
    <t>CON521</t>
  </si>
  <si>
    <t>Cyprian</t>
  </si>
  <si>
    <t>Nakano</t>
  </si>
  <si>
    <t>CON524</t>
  </si>
  <si>
    <t>Merlize</t>
  </si>
  <si>
    <t>Waggie</t>
  </si>
  <si>
    <t>CON528</t>
  </si>
  <si>
    <t>Chana</t>
  </si>
  <si>
    <t>Sam</t>
  </si>
  <si>
    <t>CON529</t>
  </si>
  <si>
    <t>Graham</t>
  </si>
  <si>
    <t>Bailey</t>
  </si>
  <si>
    <t>Polyurethane As</t>
  </si>
  <si>
    <t>CON531</t>
  </si>
  <si>
    <t>Nigel</t>
  </si>
  <si>
    <t>Wevers</t>
  </si>
  <si>
    <t>CON533</t>
  </si>
  <si>
    <t>Rashied</t>
  </si>
  <si>
    <t>CON537</t>
  </si>
  <si>
    <t>Ashraf</t>
  </si>
  <si>
    <t>Alexander</t>
  </si>
  <si>
    <t>CON539</t>
  </si>
  <si>
    <t>Venessa</t>
  </si>
  <si>
    <t>Quality Operato</t>
  </si>
  <si>
    <t>QUALITY</t>
  </si>
  <si>
    <t>DES188</t>
  </si>
  <si>
    <t>Sedick</t>
  </si>
  <si>
    <t>Anthony</t>
  </si>
  <si>
    <t>DIF027</t>
  </si>
  <si>
    <t>Marco</t>
  </si>
  <si>
    <t>Fabio</t>
  </si>
  <si>
    <t>DIF028</t>
  </si>
  <si>
    <t>Jeremy</t>
  </si>
  <si>
    <t>Constable</t>
  </si>
  <si>
    <t>DIF032</t>
  </si>
  <si>
    <t>Rudewaan</t>
  </si>
  <si>
    <t>DIF041</t>
  </si>
  <si>
    <t>Shafiek</t>
  </si>
  <si>
    <t>Brown</t>
  </si>
  <si>
    <t>MAN014</t>
  </si>
  <si>
    <t>Bevan</t>
  </si>
  <si>
    <t>MAN107</t>
  </si>
  <si>
    <t>Ronald</t>
  </si>
  <si>
    <t>Southgate</t>
  </si>
  <si>
    <t>MAN120</t>
  </si>
  <si>
    <t>Marlon</t>
  </si>
  <si>
    <t>Parenzee</t>
  </si>
  <si>
    <t>Senior Manf. Al</t>
  </si>
  <si>
    <t>NIT213</t>
  </si>
  <si>
    <t>Marwaan</t>
  </si>
  <si>
    <t>Johnson</t>
  </si>
  <si>
    <t>POW154</t>
  </si>
  <si>
    <t>Naeem</t>
  </si>
  <si>
    <t>Van Ster</t>
  </si>
  <si>
    <t>POW159</t>
  </si>
  <si>
    <t>Clifford</t>
  </si>
  <si>
    <t>Thebus</t>
  </si>
  <si>
    <t>Leading Hand/Ch</t>
  </si>
  <si>
    <t>POW161</t>
  </si>
  <si>
    <t>Nortje</t>
  </si>
  <si>
    <t>Sales / Technic</t>
  </si>
  <si>
    <t>Sales</t>
  </si>
  <si>
    <t>POW167</t>
  </si>
  <si>
    <t>Rosanne</t>
  </si>
  <si>
    <t>Williams</t>
  </si>
  <si>
    <t>POW171</t>
  </si>
  <si>
    <t>Wallace</t>
  </si>
  <si>
    <t>Lewis</t>
  </si>
  <si>
    <t>POW172</t>
  </si>
  <si>
    <t>Veenendaai</t>
  </si>
  <si>
    <t>PRE232</t>
  </si>
  <si>
    <t>Michael</t>
  </si>
  <si>
    <t>Skosana</t>
  </si>
  <si>
    <t>PRETORIA</t>
  </si>
  <si>
    <t>PRE233</t>
  </si>
  <si>
    <t>Zondi</t>
  </si>
  <si>
    <t>Mahlangu</t>
  </si>
  <si>
    <t>PRE252A</t>
  </si>
  <si>
    <t>Andries</t>
  </si>
  <si>
    <t>Segafa</t>
  </si>
  <si>
    <t>PRE255B</t>
  </si>
  <si>
    <t>Dan Maesela</t>
  </si>
  <si>
    <t>Makgotla</t>
  </si>
  <si>
    <t>PRE281A</t>
  </si>
  <si>
    <t>Adam Tshepo</t>
  </si>
  <si>
    <t>Tshabalala</t>
  </si>
  <si>
    <t>PRE287</t>
  </si>
  <si>
    <t>Motlalediba Wilson</t>
  </si>
  <si>
    <t>Mashobeng</t>
  </si>
  <si>
    <t>PRE292</t>
  </si>
  <si>
    <t>Patricia</t>
  </si>
  <si>
    <t>Damons</t>
  </si>
  <si>
    <t>STO178</t>
  </si>
  <si>
    <t>Mbambeleli</t>
  </si>
  <si>
    <t>Tom</t>
  </si>
  <si>
    <t>SWL004</t>
  </si>
  <si>
    <t>Ebriham</t>
  </si>
  <si>
    <t>Fredericks</t>
  </si>
  <si>
    <t>SWL006</t>
  </si>
  <si>
    <t>Nceba</t>
  </si>
  <si>
    <t>Mlaba</t>
  </si>
  <si>
    <t>Leading Hand/Pr</t>
  </si>
  <si>
    <t>W0000001</t>
  </si>
  <si>
    <t>Ricardo</t>
  </si>
  <si>
    <t>Blythe</t>
  </si>
  <si>
    <t>W0000002</t>
  </si>
  <si>
    <t>Valentino</t>
  </si>
  <si>
    <t>Persens</t>
  </si>
  <si>
    <t>W0000003</t>
  </si>
  <si>
    <t>Brendon</t>
  </si>
  <si>
    <t>Mulder</t>
  </si>
  <si>
    <t>W0000004</t>
  </si>
  <si>
    <t>Yazeed</t>
  </si>
  <si>
    <t>Sampson</t>
  </si>
  <si>
    <t>W0000005</t>
  </si>
  <si>
    <t>Omar</t>
  </si>
  <si>
    <t>Karriem</t>
  </si>
  <si>
    <t>W0000006</t>
  </si>
  <si>
    <t>Kurt</t>
  </si>
  <si>
    <t>Thomas</t>
  </si>
  <si>
    <t>W0000007</t>
  </si>
  <si>
    <t>Jason</t>
  </si>
  <si>
    <t>Overmeyer</t>
  </si>
  <si>
    <t>W0000008</t>
  </si>
  <si>
    <t>Jerome</t>
  </si>
  <si>
    <t>Adams</t>
  </si>
  <si>
    <t>W0000009</t>
  </si>
  <si>
    <t>Chadley</t>
  </si>
  <si>
    <t>Sasman</t>
  </si>
  <si>
    <t>W0000010</t>
  </si>
  <si>
    <t>Clayton</t>
  </si>
  <si>
    <t>Sylevester</t>
  </si>
  <si>
    <t>Senior Despatch</t>
  </si>
  <si>
    <t>W0000011</t>
  </si>
  <si>
    <t>Kieyaam</t>
  </si>
  <si>
    <t>Bowren</t>
  </si>
  <si>
    <t>W0000012</t>
  </si>
  <si>
    <t>Peter</t>
  </si>
  <si>
    <t>Kallis</t>
  </si>
  <si>
    <t>W0000014</t>
  </si>
  <si>
    <t>Gerswindt</t>
  </si>
  <si>
    <t>Thuynsma</t>
  </si>
  <si>
    <t>W0000016</t>
  </si>
  <si>
    <t>Dino</t>
  </si>
  <si>
    <t>Ray</t>
  </si>
  <si>
    <t>Flex Duct Sette</t>
  </si>
  <si>
    <t>FLEX DUCTING DEPARTMENT</t>
  </si>
  <si>
    <t>W0000017</t>
  </si>
  <si>
    <t>Brandon</t>
  </si>
  <si>
    <t>Jafta</t>
  </si>
  <si>
    <t>W0000018</t>
  </si>
  <si>
    <t>Liam</t>
  </si>
  <si>
    <t>Lodewyk</t>
  </si>
  <si>
    <t>Quality Control</t>
  </si>
  <si>
    <t>W0000020</t>
  </si>
  <si>
    <t>Carlo</t>
  </si>
  <si>
    <t>Gie</t>
  </si>
  <si>
    <t>W0000021</t>
  </si>
  <si>
    <t>Renzo</t>
  </si>
  <si>
    <t>Knigth</t>
  </si>
  <si>
    <t>W0000022</t>
  </si>
  <si>
    <t>Dale</t>
  </si>
  <si>
    <t>Fortune</t>
  </si>
  <si>
    <t>W0000023</t>
  </si>
  <si>
    <t>Leen</t>
  </si>
  <si>
    <t>W0000024</t>
  </si>
  <si>
    <t>Damian</t>
  </si>
  <si>
    <t>Ferguson</t>
  </si>
  <si>
    <t>W0000025</t>
  </si>
  <si>
    <t>Shaakir</t>
  </si>
  <si>
    <t>Young</t>
  </si>
  <si>
    <t>W0000026</t>
  </si>
  <si>
    <t>Smith</t>
  </si>
  <si>
    <t>W0000027</t>
  </si>
  <si>
    <t>W0000028</t>
  </si>
  <si>
    <t>Leticia</t>
  </si>
  <si>
    <t>W0000029</t>
  </si>
  <si>
    <t>James</t>
  </si>
  <si>
    <t>Petersen</t>
  </si>
  <si>
    <t>W0000030</t>
  </si>
  <si>
    <t>Leon</t>
  </si>
  <si>
    <t>Du Preez</t>
  </si>
  <si>
    <t>W0000031</t>
  </si>
  <si>
    <t>Barthus</t>
  </si>
  <si>
    <t>W0000032</t>
  </si>
  <si>
    <t>Lubbe</t>
  </si>
  <si>
    <t>W0000033</t>
  </si>
  <si>
    <t>Brentino</t>
  </si>
  <si>
    <t>November</t>
  </si>
  <si>
    <t>W0000034</t>
  </si>
  <si>
    <t>Enrico</t>
  </si>
  <si>
    <t>Cyster</t>
  </si>
  <si>
    <t>W0000036</t>
  </si>
  <si>
    <t>Lucky</t>
  </si>
  <si>
    <t>Nombewu</t>
  </si>
  <si>
    <t>Flex Duct Opera</t>
  </si>
  <si>
    <t>W0000037</t>
  </si>
  <si>
    <t>Shamiel</t>
  </si>
  <si>
    <t>Africa</t>
  </si>
  <si>
    <t>W0000038</t>
  </si>
  <si>
    <t>Vuyisa</t>
  </si>
  <si>
    <t>Khankqu</t>
  </si>
  <si>
    <t>W0000040</t>
  </si>
  <si>
    <t>Granville</t>
  </si>
  <si>
    <t>Jackson</t>
  </si>
  <si>
    <t>W0000041</t>
  </si>
  <si>
    <t>Lyle</t>
  </si>
  <si>
    <t>Weber</t>
  </si>
  <si>
    <t>Ottery</t>
  </si>
  <si>
    <t>Lansdowne</t>
  </si>
  <si>
    <t>X</t>
  </si>
  <si>
    <t>Workcentres</t>
  </si>
  <si>
    <t>Cutting</t>
  </si>
  <si>
    <t>Brushing</t>
  </si>
  <si>
    <t>Notching</t>
  </si>
  <si>
    <t>Damper Assembly</t>
  </si>
  <si>
    <t>Testing</t>
  </si>
  <si>
    <t>Grille Assembly</t>
  </si>
  <si>
    <t>Welding</t>
  </si>
  <si>
    <t>NEW</t>
  </si>
  <si>
    <t>x</t>
  </si>
  <si>
    <t>Optional</t>
  </si>
  <si>
    <t>Induction Channel Assembly</t>
  </si>
  <si>
    <t>Diffuser Sub-Assembly</t>
  </si>
  <si>
    <t>Diffuser Final Assembly</t>
  </si>
  <si>
    <t>Constant Volume Diffuser Ass</t>
  </si>
  <si>
    <t>Despatch</t>
  </si>
  <si>
    <t>Dispatch Ottery</t>
  </si>
  <si>
    <t>OPTIONAL</t>
  </si>
  <si>
    <t>DUCTING</t>
  </si>
  <si>
    <t>Spot Welding</t>
  </si>
  <si>
    <t>Bending Brakes</t>
  </si>
  <si>
    <t>Rolling</t>
  </si>
  <si>
    <t>Beading</t>
  </si>
  <si>
    <t>Guilotene</t>
  </si>
  <si>
    <t>Mig Welding</t>
  </si>
  <si>
    <t>Erfurt</t>
  </si>
  <si>
    <t>Grinding Stations</t>
  </si>
  <si>
    <t>50% Press and 50% Rolling Beading and Spot Welding</t>
  </si>
  <si>
    <t>Preparations</t>
  </si>
  <si>
    <t>TRUMPF</t>
  </si>
  <si>
    <t>OPTION</t>
  </si>
  <si>
    <t>Wetspray</t>
  </si>
  <si>
    <t>Chemical Treatment</t>
  </si>
  <si>
    <t>Powder Coating</t>
  </si>
  <si>
    <t>HME</t>
  </si>
  <si>
    <t>Tos</t>
  </si>
  <si>
    <t>Hydraulic</t>
  </si>
  <si>
    <t>Overhead</t>
  </si>
  <si>
    <t xml:space="preserve"> </t>
  </si>
  <si>
    <t>D00003</t>
  </si>
  <si>
    <t>D00008</t>
  </si>
  <si>
    <t>A00001</t>
  </si>
  <si>
    <t>X00001</t>
  </si>
  <si>
    <t>Powder Coating Ottery</t>
  </si>
  <si>
    <t>Chemical Treatment Ottery</t>
  </si>
  <si>
    <t>R00001</t>
  </si>
  <si>
    <t>01PTA</t>
  </si>
  <si>
    <t>05</t>
  </si>
  <si>
    <t>Damper QC</t>
  </si>
  <si>
    <t>A00006</t>
  </si>
  <si>
    <t>Assembly QC</t>
  </si>
  <si>
    <t>D00001</t>
  </si>
  <si>
    <t>D00002</t>
  </si>
  <si>
    <t>D00006</t>
  </si>
  <si>
    <t>D00004</t>
  </si>
  <si>
    <t>F00001</t>
  </si>
  <si>
    <t>F00002</t>
  </si>
  <si>
    <t>A00002</t>
  </si>
  <si>
    <t>A00003</t>
  </si>
  <si>
    <t>A00004</t>
  </si>
  <si>
    <t>A00005</t>
  </si>
  <si>
    <t>M00002</t>
  </si>
  <si>
    <t>M00001</t>
  </si>
  <si>
    <t>M00006</t>
  </si>
  <si>
    <t>M00007</t>
  </si>
  <si>
    <t>M00005</t>
  </si>
  <si>
    <t>M00008</t>
  </si>
  <si>
    <t>M00003</t>
  </si>
  <si>
    <t>P00004</t>
  </si>
  <si>
    <t>P00003</t>
  </si>
  <si>
    <t>P00005</t>
  </si>
  <si>
    <t>P00002</t>
  </si>
  <si>
    <t>P00001</t>
  </si>
  <si>
    <t>PS00001</t>
  </si>
  <si>
    <t>PS00002</t>
  </si>
  <si>
    <t>PS00003</t>
  </si>
  <si>
    <t>PS00004</t>
  </si>
  <si>
    <t>OTT</t>
  </si>
  <si>
    <t>LANS</t>
  </si>
  <si>
    <t>PTA</t>
  </si>
  <si>
    <t>M00009</t>
  </si>
  <si>
    <t>M00010</t>
  </si>
  <si>
    <t>M00011</t>
  </si>
  <si>
    <t>M00012</t>
  </si>
  <si>
    <t>Total</t>
  </si>
  <si>
    <t>D00005</t>
  </si>
  <si>
    <t>Manufacturing</t>
  </si>
  <si>
    <t>Date:2017/10/17 10:28</t>
  </si>
  <si>
    <t>SQM</t>
  </si>
  <si>
    <t>Work center</t>
  </si>
  <si>
    <t>Description</t>
  </si>
  <si>
    <t>M00004</t>
  </si>
  <si>
    <t>Bending Breaks Ottery</t>
  </si>
  <si>
    <t>Spot Welding Ottery</t>
  </si>
  <si>
    <t>Rolling Ottery</t>
  </si>
  <si>
    <t>Beading Ottery</t>
  </si>
  <si>
    <t>M00013</t>
  </si>
  <si>
    <t>Mig Welding Ottery</t>
  </si>
  <si>
    <t>Trumpf</t>
  </si>
  <si>
    <t xml:space="preserve">Assembly </t>
  </si>
  <si>
    <t>Diffuser Final Assembly &amp; Sales Assembly</t>
  </si>
  <si>
    <t>QC</t>
  </si>
  <si>
    <t>Damper</t>
  </si>
  <si>
    <t>Powder</t>
  </si>
  <si>
    <t>Press</t>
  </si>
  <si>
    <t>Flex</t>
  </si>
  <si>
    <t>Flex Ducting</t>
  </si>
  <si>
    <t>Prep</t>
  </si>
  <si>
    <t>Qty</t>
  </si>
  <si>
    <t>Sum</t>
  </si>
  <si>
    <t>Time Allocation</t>
  </si>
  <si>
    <t>Amnt</t>
  </si>
  <si>
    <t>Efficiency</t>
  </si>
  <si>
    <t>Amnt per Hour</t>
  </si>
  <si>
    <t>Annual</t>
  </si>
  <si>
    <t>Bonus</t>
  </si>
  <si>
    <t>GainShare</t>
  </si>
  <si>
    <t>UIF</t>
  </si>
  <si>
    <t>Pension</t>
  </si>
  <si>
    <t>Sick Pay Fund</t>
  </si>
  <si>
    <t>Dispute Levy</t>
  </si>
  <si>
    <t>ADM and TEC Levy</t>
  </si>
  <si>
    <t>SDL</t>
  </si>
  <si>
    <t>Minutes worked per year</t>
  </si>
  <si>
    <t>Stores</t>
  </si>
  <si>
    <t>Staff</t>
  </si>
  <si>
    <t>Asset Value</t>
  </si>
  <si>
    <t>Consumerables</t>
  </si>
  <si>
    <t>Tooling</t>
  </si>
  <si>
    <t>FIXED INDIRECT PRODUCTION COSTS</t>
  </si>
  <si>
    <t>Rates  Based on SQM</t>
  </si>
  <si>
    <t>Code</t>
  </si>
  <si>
    <t>YTD</t>
  </si>
  <si>
    <t>Annualised</t>
  </si>
  <si>
    <t>0500/500</t>
  </si>
  <si>
    <t>Rates - Ottery</t>
  </si>
  <si>
    <t>0500/505</t>
  </si>
  <si>
    <t>Rates - Babaza Park</t>
  </si>
  <si>
    <t>0500/510</t>
  </si>
  <si>
    <t>Rates - Pretoria</t>
  </si>
  <si>
    <t>Property Based on SQM</t>
  </si>
  <si>
    <t>1550/100</t>
  </si>
  <si>
    <t>Rent Premises - Pretoria</t>
  </si>
  <si>
    <t>1550/150</t>
  </si>
  <si>
    <t>10 Yr Amort Lansdowne</t>
  </si>
  <si>
    <t>Repairs &amp; Maintenance - Based on SQM</t>
  </si>
  <si>
    <t>0500/300</t>
  </si>
  <si>
    <t>R&amp;M Building Ottery</t>
  </si>
  <si>
    <t>0500/302</t>
  </si>
  <si>
    <t>R&amp;M Building Lansdowne</t>
  </si>
  <si>
    <t>0500/310</t>
  </si>
  <si>
    <t>R&amp;M Building PTA</t>
  </si>
  <si>
    <t>0500/350</t>
  </si>
  <si>
    <t>R&amp;M Equipment</t>
  </si>
  <si>
    <t>Security costs  - Based on SQM</t>
  </si>
  <si>
    <t>0500/600</t>
  </si>
  <si>
    <t>Security - Alarm - C.T.</t>
  </si>
  <si>
    <t>0500/610</t>
  </si>
  <si>
    <t>Security - Alarms - Babaza Park</t>
  </si>
  <si>
    <t>0500/620</t>
  </si>
  <si>
    <t>Security - Alarms - PTA</t>
  </si>
  <si>
    <t>VARIABLE INDIRECT PRODUCTION COSTS</t>
  </si>
  <si>
    <t>Cleaning - Based on SQM</t>
  </si>
  <si>
    <t>0500/100</t>
  </si>
  <si>
    <t>Cleaning (Factory)</t>
  </si>
  <si>
    <t>Consumable materials Based on Consumerable %</t>
  </si>
  <si>
    <t>0500/150</t>
  </si>
  <si>
    <t>Consumables</t>
  </si>
  <si>
    <t>GAS - Powder Coating - powder Coating Plant</t>
  </si>
  <si>
    <t>0500/175</t>
  </si>
  <si>
    <t>Gas - Ottery PC</t>
  </si>
  <si>
    <t>0500/180</t>
  </si>
  <si>
    <t>Gas - PC Lansdowne</t>
  </si>
  <si>
    <t>Electricity &amp; Water - Based on Elec %</t>
  </si>
  <si>
    <t>0500/200</t>
  </si>
  <si>
    <t>Electricity - Ottery</t>
  </si>
  <si>
    <t>0500/205</t>
  </si>
  <si>
    <t>Electricity - Babaza Park</t>
  </si>
  <si>
    <t>0500/210</t>
  </si>
  <si>
    <t>Electricity - Pretoria</t>
  </si>
  <si>
    <t>0500/700</t>
  </si>
  <si>
    <t>Water - Ottery</t>
  </si>
  <si>
    <t>0500/705</t>
  </si>
  <si>
    <t>Water - Babaza Park</t>
  </si>
  <si>
    <t>0500/710</t>
  </si>
  <si>
    <t>Water - Pretoria</t>
  </si>
  <si>
    <t>Overtime Food - Based on Staff</t>
  </si>
  <si>
    <t>0600/200</t>
  </si>
  <si>
    <t>Staff Costs - Overtime meals</t>
  </si>
  <si>
    <t>1510/120</t>
  </si>
  <si>
    <t>Fuel - Generator</t>
  </si>
  <si>
    <t>Fire Safety -  Based on SQM</t>
  </si>
  <si>
    <t>0500/230</t>
  </si>
  <si>
    <t>Fire Safety - PTA</t>
  </si>
  <si>
    <t>0500/225</t>
  </si>
  <si>
    <t>Fire Safety - lansdowne</t>
  </si>
  <si>
    <t>Protective clothing - Based on Number of Staff</t>
  </si>
  <si>
    <t>0600/100</t>
  </si>
  <si>
    <t>Staff Costs - Protective Cloth</t>
  </si>
  <si>
    <t>Refuse Removal - Based on SQM</t>
  </si>
  <si>
    <t>0500/550</t>
  </si>
  <si>
    <t>Refuse Removal - Ottery</t>
  </si>
  <si>
    <t>0500/555</t>
  </si>
  <si>
    <t>Refuse Removal - Babaza Park</t>
  </si>
  <si>
    <t>0500/560</t>
  </si>
  <si>
    <t>Refuse Removal - Pretoria</t>
  </si>
  <si>
    <t>ROR - Skills Development Levy - Added in Wages</t>
  </si>
  <si>
    <t>0600/550</t>
  </si>
  <si>
    <t>Skills Develop Levy</t>
  </si>
  <si>
    <t>Staff Welfare - Based on Staff</t>
  </si>
  <si>
    <t>0600/150</t>
  </si>
  <si>
    <t>Staff Costs - Welfare (Factory</t>
  </si>
  <si>
    <t>0600/160</t>
  </si>
  <si>
    <t>Staff Costs - Welfare PTA</t>
  </si>
  <si>
    <t>Tooling - Based on Tooling %</t>
  </si>
  <si>
    <t>0500/650</t>
  </si>
  <si>
    <t>W. C. A - Based on Staff</t>
  </si>
  <si>
    <t>0600/600</t>
  </si>
  <si>
    <t>Wages - WCA</t>
  </si>
  <si>
    <t>DEPRECIATION - Based on Asset Value</t>
  </si>
  <si>
    <t>Depreciation - Designs/ Patents</t>
  </si>
  <si>
    <t>3900/100</t>
  </si>
  <si>
    <t>Depreciation - Designs</t>
  </si>
  <si>
    <t>3900/300</t>
  </si>
  <si>
    <t>Depreciation - Patents</t>
  </si>
  <si>
    <t>Depreciation - Tools</t>
  </si>
  <si>
    <t>0800/100</t>
  </si>
  <si>
    <t>Depreciatiion - Tools</t>
  </si>
  <si>
    <t>Depreciation - Plant</t>
  </si>
  <si>
    <t>0800/150</t>
  </si>
  <si>
    <t>Depreciation -Plant/Equip.</t>
  </si>
  <si>
    <t>Old Cost per Min</t>
  </si>
  <si>
    <t>Rates  Based on Asset Value</t>
  </si>
  <si>
    <t>Rates  Based SQM</t>
  </si>
  <si>
    <t>Rates  Based on % and Direct Allocations</t>
  </si>
  <si>
    <t>Varianble INDIRECT PRODUCTION COSTS</t>
  </si>
  <si>
    <t>Based on SQM</t>
  </si>
  <si>
    <t>Variable</t>
  </si>
  <si>
    <t xml:space="preserve">Fixed </t>
  </si>
  <si>
    <t>Total SQM</t>
  </si>
  <si>
    <t>M00014</t>
  </si>
  <si>
    <t>Labour Price per Man Minute</t>
  </si>
  <si>
    <t>Pretoria</t>
  </si>
  <si>
    <t>Rates  Based on Staff</t>
  </si>
  <si>
    <t>Compressor and Riveter</t>
  </si>
  <si>
    <t>Electrical Fan</t>
  </si>
  <si>
    <t>02PWET</t>
  </si>
  <si>
    <t>Container and Shelves</t>
  </si>
  <si>
    <t>Trumpf CNC Press</t>
  </si>
  <si>
    <t>Air Dryer and Drains</t>
  </si>
  <si>
    <t>Reconnecting Air Dryer and Piping</t>
  </si>
  <si>
    <t>Air Dryer Trumpf</t>
  </si>
  <si>
    <t>Die and Punches as per INV23442</t>
  </si>
  <si>
    <t>1KVA UPS</t>
  </si>
  <si>
    <t>Various Trumf tools 30 000 Eur</t>
  </si>
  <si>
    <t>Louvre Tool - Trumpf</t>
  </si>
  <si>
    <t>Roll Splitting Tool</t>
  </si>
  <si>
    <t>Trumpf Tooling</t>
  </si>
  <si>
    <t>Roller Cutting Tool</t>
  </si>
  <si>
    <t>VRD Outer Edge</t>
  </si>
  <si>
    <t>Bayonet Fitting</t>
  </si>
  <si>
    <t>SPINNING DIE/JIG SWIRL PLATE</t>
  </si>
  <si>
    <t>SPINNING DIE/JIG MED SWIRL Rnd</t>
  </si>
  <si>
    <t>Wall Stat Design and Mould</t>
  </si>
  <si>
    <t>Vortex Testing Tubes</t>
  </si>
  <si>
    <t>Mitre Saw LS101034</t>
  </si>
  <si>
    <t>VLN Piercing Tool</t>
  </si>
  <si>
    <t>Aliminium Welder</t>
  </si>
  <si>
    <t>Tig Welder</t>
  </si>
  <si>
    <t>ALUMINIUM TIG WELDER</t>
  </si>
  <si>
    <t>Power Fastner - For RA Griles</t>
  </si>
  <si>
    <t>Extrusion Radius Notching Tool</t>
  </si>
  <si>
    <t>Electric Crimper</t>
  </si>
  <si>
    <t>Hinge Tool</t>
  </si>
  <si>
    <t>RAG Grille Tool</t>
  </si>
  <si>
    <t>2 Stage VLN form tool</t>
  </si>
  <si>
    <t>Modification to VLN Levers tool</t>
  </si>
  <si>
    <t>ALUMINIUM DIE CHANGES DIE 32449/32450/32451</t>
  </si>
  <si>
    <t>Modification PHB 4 and 3</t>
  </si>
  <si>
    <t>Aluminium Die 32450A</t>
  </si>
  <si>
    <t>Various Dies</t>
  </si>
  <si>
    <t>DB01 DB02 DIE</t>
  </si>
  <si>
    <t>Orriface End Caps</t>
  </si>
  <si>
    <t>Fire Damper Blade and Side Assembly</t>
  </si>
  <si>
    <t>Extend Sliot</t>
  </si>
  <si>
    <t>VLN4 Tooling</t>
  </si>
  <si>
    <t>Louvre Grill</t>
  </si>
  <si>
    <t>Artwork Stereo Boxes</t>
  </si>
  <si>
    <t>Carton Die CT4107</t>
  </si>
  <si>
    <t>Carton Die CT4109</t>
  </si>
  <si>
    <t>Dies New Box</t>
  </si>
  <si>
    <t>Toyota Hino</t>
  </si>
  <si>
    <t>Isuzu KB250</t>
  </si>
  <si>
    <t>Toyota Dyna</t>
  </si>
  <si>
    <t>Isuzu Long Wheen Base Bakkie</t>
  </si>
  <si>
    <t>Trailer 3000 x 1700 x300</t>
  </si>
  <si>
    <t>Strapping Machine</t>
  </si>
  <si>
    <t>Bending Brake Tools</t>
  </si>
  <si>
    <t>L Shaped Tool</t>
  </si>
  <si>
    <t>Weld Tip Sharpener</t>
  </si>
  <si>
    <t>50KVA Series 90 Spot Welder</t>
  </si>
  <si>
    <t>CFW Mobile Griding Dust unit</t>
  </si>
  <si>
    <t>Electrical installation grinding Stations</t>
  </si>
  <si>
    <t>Hole Punch</t>
  </si>
  <si>
    <t>Flypress tool to Bend Plate</t>
  </si>
  <si>
    <t>Roller Machine</t>
  </si>
  <si>
    <t>CMZ Jenny / Beader</t>
  </si>
  <si>
    <t>Bending Brake</t>
  </si>
  <si>
    <t>Thermax 250MIG Welder</t>
  </si>
  <si>
    <t>CNC Guilotene</t>
  </si>
  <si>
    <t>Stripping Baths</t>
  </si>
  <si>
    <t>Powder Coating Plant</t>
  </si>
  <si>
    <t>Powder Coating Additions</t>
  </si>
  <si>
    <t>Powder Coating Partition</t>
  </si>
  <si>
    <t>Wetspray Boothe</t>
  </si>
  <si>
    <t>Compressor GA26+P and Cabling</t>
  </si>
  <si>
    <t>2 x Airstatic Units</t>
  </si>
  <si>
    <t>415 FNF Powder Coating Gage</t>
  </si>
  <si>
    <t>Spray Gun</t>
  </si>
  <si>
    <t>Powder Coating Power Screwdriver</t>
  </si>
  <si>
    <t>HYDRAULIC PRESS CHANGES</t>
  </si>
  <si>
    <t>Draw Tool</t>
  </si>
  <si>
    <t>Adapter PLATE Press</t>
  </si>
  <si>
    <t>CUSHION 2B AND 3A</t>
  </si>
  <si>
    <t>TRIM AND PIERCE TOOL</t>
  </si>
  <si>
    <t>Radial Tool</t>
  </si>
  <si>
    <t>Eccentric Press</t>
  </si>
  <si>
    <t>Bolster Plate for EFURT Press</t>
  </si>
  <si>
    <t>Wedge Mount Press</t>
  </si>
  <si>
    <t>Modification Control Disc Tool see T00321</t>
  </si>
  <si>
    <t>Various Die's for Control Discs</t>
  </si>
  <si>
    <t>Trim Tool Spacer plates</t>
  </si>
  <si>
    <t>Control Disc Tool</t>
  </si>
  <si>
    <t>Trim Disc Tool</t>
  </si>
  <si>
    <t>VCD 325 TOOL</t>
  </si>
  <si>
    <t>ISOLITE Diffuser Trim Support</t>
  </si>
  <si>
    <t>Induction Channel</t>
  </si>
  <si>
    <t>Induction Base Plate</t>
  </si>
  <si>
    <t>Folding Bending Tool for S320</t>
  </si>
  <si>
    <t>Bending Blanking tool 430mm</t>
  </si>
  <si>
    <t>Stripper Plates</t>
  </si>
  <si>
    <t>Modified Control DISC Tool</t>
  </si>
  <si>
    <t>MODIFIED TRIM DISC CENTRE</t>
  </si>
  <si>
    <t>Modified Lower Round Trim</t>
  </si>
  <si>
    <t>Hardening and Commissioning Bayo Punch Tool</t>
  </si>
  <si>
    <t>Rework Bayonet punch</t>
  </si>
  <si>
    <t>Modify Channel Forming Tool</t>
  </si>
  <si>
    <t>Trim Tool Insert 330mm</t>
  </si>
  <si>
    <t>Modification to Base Plate</t>
  </si>
  <si>
    <t>CDIS Tool Modification</t>
  </si>
  <si>
    <t>Punch and Die 350 Neck</t>
  </si>
  <si>
    <t>350 Trimset &amp; Dieset various tools</t>
  </si>
  <si>
    <t>T Ring Tool</t>
  </si>
  <si>
    <t>Dieset Tring Tool</t>
  </si>
  <si>
    <t>Flange and Extrude</t>
  </si>
  <si>
    <t>UPPER FLANGE AND TRIM INSERT SPARES</t>
  </si>
  <si>
    <t>New 200 Neck Insert</t>
  </si>
  <si>
    <t>250mm Removable Neck Inserts</t>
  </si>
  <si>
    <t>Bracket Swirl Bending Tool</t>
  </si>
  <si>
    <t>Tool to Pierce holes in Tile</t>
  </si>
  <si>
    <t>Nek inserts 300mm</t>
  </si>
  <si>
    <t>Neck Inserts 350mm</t>
  </si>
  <si>
    <t>Breaker Cyclinder for Tos</t>
  </si>
  <si>
    <t>3 Part Gear Faimly Mould</t>
  </si>
  <si>
    <t>Thermal Actuator Assembly Press</t>
  </si>
  <si>
    <t>Lindrive Assembly Tools</t>
  </si>
  <si>
    <t>Thermal - Arm Cradle</t>
  </si>
  <si>
    <t>Thermal-Lever Arm</t>
  </si>
  <si>
    <t>Thermal - Adjustment Tool</t>
  </si>
  <si>
    <t>Thermal - Flow Adjust</t>
  </si>
  <si>
    <t>Thermal - Control Disc</t>
  </si>
  <si>
    <t>Thermal - Outside Tube</t>
  </si>
  <si>
    <t>Thermal - Venturi Tube</t>
  </si>
  <si>
    <t>Thermal - inside Tube</t>
  </si>
  <si>
    <t>Motor Test Jig</t>
  </si>
  <si>
    <t>Thermal Modification - Tooling Adjustment Knob</t>
  </si>
  <si>
    <t>Thermal Modification - Bottom Cap</t>
  </si>
  <si>
    <t>Thermal Modification - Tooling Lever Arms</t>
  </si>
  <si>
    <t>Thermal Modification - Tooling Lift 2 Cavity</t>
  </si>
  <si>
    <t>Thermal Modification - Tooling Ring Lobed 2 Cavity</t>
  </si>
  <si>
    <t>Thermal Modification - Tooling Temp Adj Knob</t>
  </si>
  <si>
    <t>Injection - Motor Housing</t>
  </si>
  <si>
    <t>Injection - Control Disc Cap</t>
  </si>
  <si>
    <t>Injection Control Disc Shaft Stepper</t>
  </si>
  <si>
    <t>MOULD CLIP RATCHET</t>
  </si>
  <si>
    <t>Stepper Mould Mod (See T00447)</t>
  </si>
  <si>
    <t>Control Disc Cap Mod (See T00448)</t>
  </si>
  <si>
    <t>Threaded Bush Mould Mod (see T00449)</t>
  </si>
  <si>
    <t>Bottom Cap Mould (see TOO402)</t>
  </si>
  <si>
    <t>Omni Probe</t>
  </si>
  <si>
    <t>Arbor Press &amp; Fitt</t>
  </si>
  <si>
    <t>Bayonet Punch and Die</t>
  </si>
  <si>
    <t>Flexi Clip</t>
  </si>
  <si>
    <t>Venturi Rebuild</t>
  </si>
  <si>
    <t>SPIN TOOL FOR BAYONET DIFFUSER</t>
  </si>
  <si>
    <t>Induction Cap</t>
  </si>
  <si>
    <t>Induction Cap modification</t>
  </si>
  <si>
    <t>BAYONET PUNCH</t>
  </si>
  <si>
    <t>Modify Mould Stepper Cap</t>
  </si>
  <si>
    <t>Mould Modification Bayonet Slides</t>
  </si>
  <si>
    <t>INDUCTION CAP - MODIFICATION</t>
  </si>
  <si>
    <t>Control Disc and Shaft Modification</t>
  </si>
  <si>
    <t>Modification Bottom Cap</t>
  </si>
  <si>
    <t>Modification Venturi Tube</t>
  </si>
  <si>
    <t>Numerous Press Tool Inserts</t>
  </si>
  <si>
    <t>Modification to Shaft, Thyreaded Bush and CDIS Cap</t>
  </si>
  <si>
    <t>M10 Shaft and Bottom Cap Modification</t>
  </si>
  <si>
    <t>Modifications to Bayonet</t>
  </si>
  <si>
    <t>Modification Bayonet and Shaft</t>
  </si>
  <si>
    <t>Bayonet Modification</t>
  </si>
  <si>
    <t>Core insert Cap</t>
  </si>
  <si>
    <t>Crosshair Mould</t>
  </si>
  <si>
    <t>Control Box and Lid</t>
  </si>
  <si>
    <t>CCD Bush Assembly</t>
  </si>
  <si>
    <t>CCD BUSH Insert</t>
  </si>
  <si>
    <t>2 Start Thread Shaft</t>
  </si>
  <si>
    <t>Blade Bush 4 Cavity Inserts</t>
  </si>
  <si>
    <t>MCU box tool</t>
  </si>
  <si>
    <t>Wallstat Tool</t>
  </si>
  <si>
    <t>Cross End Piece with Clip</t>
  </si>
  <si>
    <t>VSD 320 Pins Mould</t>
  </si>
  <si>
    <t>Shelving</t>
  </si>
  <si>
    <t>Racks Assembly</t>
  </si>
  <si>
    <t>Racking Damper</t>
  </si>
  <si>
    <t>Pallets</t>
  </si>
  <si>
    <t>Racklock</t>
  </si>
  <si>
    <t>Racklock Racking</t>
  </si>
  <si>
    <t>Racking Lansdowne</t>
  </si>
  <si>
    <t>Racking</t>
  </si>
  <si>
    <t>Racking for flex duct dept</t>
  </si>
  <si>
    <t>Shelving for Factory</t>
  </si>
  <si>
    <t>TUBING FOR TILE CRATES</t>
  </si>
  <si>
    <t>Fence and Gates</t>
  </si>
  <si>
    <t>Box Stapler</t>
  </si>
  <si>
    <t>Promo Stacker</t>
  </si>
  <si>
    <t>SA Forklift</t>
  </si>
  <si>
    <t>Forklift</t>
  </si>
  <si>
    <t>Flexible Duct</t>
  </si>
  <si>
    <t>Water %</t>
  </si>
  <si>
    <t>Electricity%</t>
  </si>
  <si>
    <t>Based on % minutes worked</t>
  </si>
  <si>
    <t>Based on % Staff</t>
  </si>
  <si>
    <t>Management</t>
  </si>
  <si>
    <t>S646</t>
  </si>
  <si>
    <t>TEC011</t>
  </si>
  <si>
    <t>R HOOSEN</t>
  </si>
  <si>
    <t>ADM023</t>
  </si>
  <si>
    <t>E Lewis</t>
  </si>
  <si>
    <t>S710</t>
  </si>
  <si>
    <t>PTA020</t>
  </si>
  <si>
    <t>I MAKUA</t>
  </si>
  <si>
    <t>Maintenace</t>
  </si>
  <si>
    <t>Wages</t>
  </si>
  <si>
    <t>MAN012</t>
  </si>
  <si>
    <t>Fixed INDIRECT PRODUCTION COSTS</t>
  </si>
  <si>
    <t>Total Per Minute</t>
  </si>
  <si>
    <t>M00099</t>
  </si>
  <si>
    <t>Miscellaneous</t>
  </si>
  <si>
    <t>Miscelaneous</t>
  </si>
  <si>
    <t>Lan</t>
  </si>
  <si>
    <t>Ott</t>
  </si>
  <si>
    <t>Pta</t>
  </si>
  <si>
    <t>LAN</t>
  </si>
  <si>
    <t>VLN Value Cap round &amp; rectangular Cavity Mould</t>
  </si>
  <si>
    <t>Extrustion tooling Die 36550 -new VLN side</t>
  </si>
  <si>
    <t>Heater Coil testing equipment</t>
  </si>
  <si>
    <t>Pattern Controller ABS</t>
  </si>
  <si>
    <t>1.6mm Notching Machine</t>
  </si>
  <si>
    <t>Dies &amp; Punches for Press Brake Bender</t>
  </si>
  <si>
    <t>Pressbrake Hydraulic Intellifab</t>
  </si>
  <si>
    <t>Trumpf tilting arm power fastner</t>
  </si>
  <si>
    <t>D00007</t>
  </si>
  <si>
    <t>Guillotine Motorised SMAC</t>
  </si>
  <si>
    <t>Jojo pump &amp; installation</t>
  </si>
  <si>
    <t>Jojo Tank L/downe</t>
  </si>
  <si>
    <t>Makita slide Mitre Saw (Damper dept)</t>
  </si>
  <si>
    <t>Dampers</t>
  </si>
  <si>
    <t>Diffuser Assembly</t>
  </si>
  <si>
    <t>PREPARATIONS</t>
  </si>
  <si>
    <t>FLEX</t>
  </si>
  <si>
    <t>Leading Hand Stores</t>
  </si>
  <si>
    <t>Stock Expeditor</t>
  </si>
  <si>
    <t>Stores Assistant/Pic</t>
  </si>
  <si>
    <t>Receiving clerk</t>
  </si>
  <si>
    <t>W0000044</t>
  </si>
  <si>
    <t xml:space="preserve">              </t>
  </si>
  <si>
    <t>Current</t>
  </si>
  <si>
    <t>W0000047</t>
  </si>
  <si>
    <t>WorkCentre</t>
  </si>
  <si>
    <t>RunTimeRate1</t>
  </si>
  <si>
    <t>FixOverRate1</t>
  </si>
  <si>
    <t>VarOverRate1</t>
  </si>
  <si>
    <t>01PASS</t>
  </si>
  <si>
    <t>Pretoria Assembly</t>
  </si>
  <si>
    <t>Pretoria Wet Spray</t>
  </si>
  <si>
    <t>03PQC</t>
  </si>
  <si>
    <t>Pretoria Quality Check</t>
  </si>
  <si>
    <t>09</t>
  </si>
  <si>
    <t>12</t>
  </si>
  <si>
    <t>Engineering</t>
  </si>
  <si>
    <t>20</t>
  </si>
  <si>
    <t>Subcontract Operations Lansdowne</t>
  </si>
  <si>
    <t>25</t>
  </si>
  <si>
    <t>Subcontract Operations Ottery</t>
  </si>
  <si>
    <t>ANA</t>
  </si>
  <si>
    <t>Anodising of components</t>
  </si>
  <si>
    <t>CRIM</t>
  </si>
  <si>
    <t>Crimp connectors on cables</t>
  </si>
  <si>
    <t>LASER</t>
  </si>
  <si>
    <t>Laser Cut VLN Cam</t>
  </si>
  <si>
    <t>LHA</t>
  </si>
  <si>
    <t>Outwork LHA</t>
  </si>
  <si>
    <t>Bending Brakes Landsdowne</t>
  </si>
  <si>
    <t>Spot Welding Lansdowne</t>
  </si>
  <si>
    <t>Grinding Stations Lansdowne</t>
  </si>
  <si>
    <t>Notching Lansdowne</t>
  </si>
  <si>
    <t>Rolling Lansdowne</t>
  </si>
  <si>
    <t>BeadingLansdowne</t>
  </si>
  <si>
    <t>Mig Welding Lansdowne</t>
  </si>
  <si>
    <t>Guilotene Lansdowne</t>
  </si>
  <si>
    <t>MACHI2</t>
  </si>
  <si>
    <t>Machining of induction caps</t>
  </si>
  <si>
    <t>MACHIN</t>
  </si>
  <si>
    <t>Machining of Power Pills</t>
  </si>
  <si>
    <t>OUTWM</t>
  </si>
  <si>
    <t>Miscellaneos Outwork</t>
  </si>
  <si>
    <t>PCB</t>
  </si>
  <si>
    <t>Electronic Controls on Order</t>
  </si>
  <si>
    <t>POWD</t>
  </si>
  <si>
    <t>Sub Contract Powder Coating</t>
  </si>
  <si>
    <t>PRES01</t>
  </si>
  <si>
    <t>Punch and Form Cone</t>
  </si>
  <si>
    <t>PRES20</t>
  </si>
  <si>
    <t>Press Bell Mouth</t>
  </si>
  <si>
    <t>PRES30</t>
  </si>
  <si>
    <t>Notch Tile to size</t>
  </si>
  <si>
    <t>PRES40</t>
  </si>
  <si>
    <t>Spin VCD/VSW CDISC Cap</t>
  </si>
  <si>
    <t>PRES50</t>
  </si>
  <si>
    <t>Press VLN Track bracket</t>
  </si>
  <si>
    <t>PRINT</t>
  </si>
  <si>
    <t>Screen Print Plastic Parts</t>
  </si>
  <si>
    <t>Hydraulic Press</t>
  </si>
  <si>
    <t>HME Press</t>
  </si>
  <si>
    <t>Toss Press</t>
  </si>
  <si>
    <t>Erfurt Press</t>
  </si>
  <si>
    <t>Preperation</t>
  </si>
  <si>
    <t>S00001</t>
  </si>
  <si>
    <t>Lansdowne Stores</t>
  </si>
  <si>
    <t>S00002</t>
  </si>
  <si>
    <t>SPIN01</t>
  </si>
  <si>
    <t>Spin Trim Disk</t>
  </si>
  <si>
    <t>SPIN02</t>
  </si>
  <si>
    <t>Spin Rnd Diffuser</t>
  </si>
  <si>
    <t>SPIN03</t>
  </si>
  <si>
    <t>Spin Swirl Plate</t>
  </si>
  <si>
    <t>SPIN04</t>
  </si>
  <si>
    <t>Spin neck reducer</t>
  </si>
  <si>
    <t>SWIRL</t>
  </si>
  <si>
    <t>Press swirl plate</t>
  </si>
  <si>
    <t>T-RING</t>
  </si>
  <si>
    <t>Cut T-Rings</t>
  </si>
  <si>
    <t>TAPP</t>
  </si>
  <si>
    <t>Thread aluminium block</t>
  </si>
  <si>
    <t>VAR001</t>
  </si>
  <si>
    <t>Write of Variance</t>
  </si>
  <si>
    <t>WETS</t>
  </si>
  <si>
    <t>Wet Spray</t>
  </si>
  <si>
    <t>Miscellaneous Lansdowne</t>
  </si>
  <si>
    <t>Delivery Driver</t>
  </si>
  <si>
    <t>W0000048</t>
  </si>
  <si>
    <t>RustonIsaacs</t>
  </si>
  <si>
    <t>BrendonAbrahams</t>
  </si>
  <si>
    <t>W0000053</t>
  </si>
  <si>
    <t>GrantDe Kock</t>
  </si>
  <si>
    <t>WinwellLanga</t>
  </si>
  <si>
    <t>All Rounder/ Fi</t>
  </si>
  <si>
    <t>W0000049</t>
  </si>
  <si>
    <t>IgylleJacobs</t>
  </si>
  <si>
    <t>W0000051</t>
  </si>
  <si>
    <t>W0000054</t>
  </si>
  <si>
    <t>AdriaanMatthews</t>
  </si>
  <si>
    <t>Stores Assistan</t>
  </si>
  <si>
    <t>W0000057</t>
  </si>
  <si>
    <t>BrandonSmith</t>
  </si>
  <si>
    <t>W0000052</t>
  </si>
  <si>
    <t>Durma CNC Press Brake AD-S25100</t>
  </si>
  <si>
    <t>Wire Stripping Machine</t>
  </si>
  <si>
    <t>Wire Crimping Machine</t>
  </si>
  <si>
    <t>R00003</t>
  </si>
  <si>
    <t>Channels steel rack (man dept)</t>
  </si>
  <si>
    <t>Racking Damper Dept</t>
  </si>
  <si>
    <t>Modification to Bayonet Arm</t>
  </si>
  <si>
    <t>Lindrive Plastic Cover Cavity &amp; Core insert</t>
  </si>
  <si>
    <t>Trumph Additional set Dies &amp; punches</t>
  </si>
  <si>
    <t>Modify RAG Tool</t>
  </si>
  <si>
    <t>Round Swirl &amp; Backpan punching tool -pop rivets</t>
  </si>
  <si>
    <t>Extention for T-Ring Tool to fit Press</t>
  </si>
  <si>
    <t>Efurt</t>
  </si>
  <si>
    <t>Ave Increase</t>
  </si>
  <si>
    <t>Changed to Machine Minutes as more staff than Machines</t>
  </si>
  <si>
    <t xml:space="preserve">Spot Welding </t>
  </si>
  <si>
    <t xml:space="preserve">Mig Welding </t>
  </si>
  <si>
    <t>GCM 12GDL Gliding/Sliding double bevel saw</t>
  </si>
  <si>
    <t>Trim Shelves</t>
  </si>
  <si>
    <t>R00002</t>
  </si>
  <si>
    <t>Steel Racking Flex duct area</t>
  </si>
  <si>
    <t>Assemby Table &amp; Racking (Damper dept)</t>
  </si>
  <si>
    <t>Material Racking &amp; table (press shop)</t>
  </si>
  <si>
    <t>Factory Caging</t>
  </si>
  <si>
    <t>Gippers and Work Stations</t>
  </si>
  <si>
    <t>Gippers</t>
  </si>
  <si>
    <t>Insulation Table for ducting dept</t>
  </si>
  <si>
    <t>Gippers x 100, tables x 5</t>
  </si>
  <si>
    <t>Production trolleys</t>
  </si>
  <si>
    <t>HME DCP ECCENTRIC PRESS</t>
  </si>
  <si>
    <t>TOS LEK PRESS</t>
  </si>
  <si>
    <t>Roticery Press</t>
  </si>
  <si>
    <t>Press Brake</t>
  </si>
  <si>
    <t>Monitor Press Brake 2</t>
  </si>
  <si>
    <t>Ermakson CNC Press Brake &amp; Tooling</t>
  </si>
  <si>
    <t>Pancake Heater Coiling Machine</t>
  </si>
  <si>
    <t>Mig Welder</t>
  </si>
  <si>
    <t>2 x SpotWelders (PS 2 WRITTEN OFF)</t>
  </si>
  <si>
    <t>HAND KNOTCHER</t>
  </si>
  <si>
    <t>PNEUMATIC RIVETER</t>
  </si>
  <si>
    <t>Airline Installation</t>
  </si>
  <si>
    <t>Electric Stacker</t>
  </si>
  <si>
    <t>Scale</t>
  </si>
  <si>
    <t>Pallet Trolley</t>
  </si>
  <si>
    <t>Guilotine Q01 Treadle</t>
  </si>
  <si>
    <t>Addition to Amada Table Extension</t>
  </si>
  <si>
    <t>PTAWET</t>
  </si>
  <si>
    <t>AssemblyPTA</t>
  </si>
  <si>
    <t>Lansdown</t>
  </si>
  <si>
    <t>1 Account</t>
  </si>
  <si>
    <t>2 Accounts</t>
  </si>
  <si>
    <t>Delete</t>
  </si>
  <si>
    <t>Rent Premises - Ottery</t>
  </si>
  <si>
    <t>Gas</t>
  </si>
  <si>
    <t>Added Ottery and Lansdowne together</t>
  </si>
  <si>
    <t>Row</t>
  </si>
  <si>
    <t>Phanuel</t>
  </si>
  <si>
    <t>Tlou</t>
  </si>
  <si>
    <t>A1Print</t>
  </si>
  <si>
    <t>A1 Print</t>
  </si>
  <si>
    <t>W0000062</t>
  </si>
  <si>
    <t>Modirwadi</t>
  </si>
  <si>
    <t>A Alexander</t>
  </si>
  <si>
    <t>P&amp;M999</t>
  </si>
  <si>
    <t>8KVA 220V Generator (PTA)</t>
  </si>
  <si>
    <t>P&amp;M1001</t>
  </si>
  <si>
    <t>Shini Hopper Dryer SDH50EB</t>
  </si>
  <si>
    <t>P&amp;M1002</t>
  </si>
  <si>
    <t>Shini Hopper Dryer SDH100EB</t>
  </si>
  <si>
    <t>P&amp;M1003</t>
  </si>
  <si>
    <t>Shini Std Water Heater 910W (incl manifolds)</t>
  </si>
  <si>
    <t>P&amp;M1004</t>
  </si>
  <si>
    <t>ICT 650 Cooling Tower</t>
  </si>
  <si>
    <t>P&amp;M1008</t>
  </si>
  <si>
    <t>A Frame 1T Hoist, crawl &amp; chain block</t>
  </si>
  <si>
    <t>TOO993</t>
  </si>
  <si>
    <t>618 Square Tile punch &amp; die inserts</t>
  </si>
  <si>
    <t>INJ00001</t>
  </si>
  <si>
    <t>Injection</t>
  </si>
  <si>
    <t>Moulding</t>
  </si>
  <si>
    <t>Faizel Williams</t>
  </si>
  <si>
    <t>INJ00002</t>
  </si>
  <si>
    <t>INJ00003</t>
  </si>
  <si>
    <t>Arburg All Rounder</t>
  </si>
  <si>
    <t>Arburg 25Ton</t>
  </si>
  <si>
    <t>Machines</t>
  </si>
  <si>
    <t>Laser Cutter</t>
  </si>
  <si>
    <t>Laser</t>
  </si>
  <si>
    <t>Lansdowne Asset recon</t>
  </si>
  <si>
    <t>L00001</t>
  </si>
  <si>
    <t>Recon</t>
  </si>
  <si>
    <t>Total Excl PTA</t>
  </si>
  <si>
    <t>AssetAllocation</t>
  </si>
  <si>
    <t>Excl Stores and PTA</t>
  </si>
  <si>
    <t>Sensitivity to Breakdowns(Scale1-5)</t>
  </si>
  <si>
    <t>Total Age/Risk Weighted</t>
  </si>
  <si>
    <t>R&amp;M %</t>
  </si>
  <si>
    <t>Repairs &amp; Maintenance - Based onR&amp;M%</t>
  </si>
  <si>
    <t>Arburg 70Ton</t>
  </si>
  <si>
    <t>INJ0004</t>
  </si>
  <si>
    <t>Injection Final Operations</t>
  </si>
  <si>
    <t>Do Not Use</t>
  </si>
  <si>
    <t>Do not Use</t>
  </si>
  <si>
    <t>Based on Asset Value (Fixed Based on Weighted Age/Asset/risk)</t>
  </si>
  <si>
    <t>Damper Assembler</t>
  </si>
  <si>
    <t>Mpendulo</t>
  </si>
  <si>
    <t>Yekele</t>
  </si>
  <si>
    <t>Injection Moulding Flashing</t>
  </si>
  <si>
    <t>Flashing</t>
  </si>
  <si>
    <t>INJ00004</t>
  </si>
  <si>
    <t>Column1</t>
  </si>
  <si>
    <t>Damper Cutting/Set-up Assem</t>
  </si>
  <si>
    <t>Leading Hand/Damper Assembl</t>
  </si>
  <si>
    <t>Welder/Damper Assembler</t>
  </si>
  <si>
    <t>Welding/Damper Assembly</t>
  </si>
  <si>
    <t>Electric Prep Assembler</t>
  </si>
  <si>
    <t>Electrical Prep Assembler</t>
  </si>
  <si>
    <t>Motor Assembler/Prep</t>
  </si>
  <si>
    <t>Diffuser CCD Assembler</t>
  </si>
  <si>
    <t>Diffuser/Trim/Heater Assemb</t>
  </si>
  <si>
    <t>Diffuser Trim/Sub Assembler</t>
  </si>
  <si>
    <t>Heater Neck/Trim/Sub Assemb</t>
  </si>
  <si>
    <t>Diffuser Trim Assembler</t>
  </si>
  <si>
    <t>Leading Hand/Final Diffuser</t>
  </si>
  <si>
    <t>Flex Duct Operator</t>
  </si>
  <si>
    <t>Guilotene Operator</t>
  </si>
  <si>
    <t>Bending/Press Brake Setter/</t>
  </si>
  <si>
    <t>All Rounder - Manufacturing</t>
  </si>
  <si>
    <t>Press Brake Operator</t>
  </si>
  <si>
    <t>Welder/Assembler</t>
  </si>
  <si>
    <t>Senior Manf. All Rounder</t>
  </si>
  <si>
    <t>Leading hand/Press setter/O</t>
  </si>
  <si>
    <t>Leading Hand/Powder Coating</t>
  </si>
  <si>
    <t>Cleaner/Tea Lady</t>
  </si>
  <si>
    <t>Quality Controller</t>
  </si>
  <si>
    <t>Wetspray PTA</t>
  </si>
  <si>
    <t>PS00005</t>
  </si>
  <si>
    <t>Bending Brake Press Shop</t>
  </si>
  <si>
    <t>PS00006</t>
  </si>
  <si>
    <t>Spot Welding Press Shop</t>
  </si>
  <si>
    <t>PS00007</t>
  </si>
  <si>
    <t>Press Shop Grinding</t>
  </si>
  <si>
    <t>PS00008</t>
  </si>
  <si>
    <t>Press Shop Notching</t>
  </si>
  <si>
    <t>PS00009</t>
  </si>
  <si>
    <t>Press Shop Rolling</t>
  </si>
  <si>
    <t>PS00010</t>
  </si>
  <si>
    <t>Press Shop Mig Welding</t>
  </si>
  <si>
    <t>PS00011</t>
  </si>
  <si>
    <t>Press Shop Misc</t>
  </si>
  <si>
    <t>W0000064</t>
  </si>
  <si>
    <t>Gershwin</t>
  </si>
  <si>
    <t>Other - Production Management</t>
  </si>
  <si>
    <t>Stores Wage Staff</t>
  </si>
  <si>
    <t>Stores Salary Staff - CTN</t>
  </si>
  <si>
    <t>Stores Salary Staff - PTA</t>
  </si>
  <si>
    <t>P&amp;M782</t>
  </si>
  <si>
    <t>P&amp;M823</t>
  </si>
  <si>
    <t>F&amp;F654</t>
  </si>
  <si>
    <t>P&amp;M697</t>
  </si>
  <si>
    <t>P&amp;M792</t>
  </si>
  <si>
    <t>P&amp;M804</t>
  </si>
  <si>
    <t>P&amp;M812</t>
  </si>
  <si>
    <t>TOO610</t>
  </si>
  <si>
    <t>TOO621</t>
  </si>
  <si>
    <t>TOO696</t>
  </si>
  <si>
    <t>TOO711</t>
  </si>
  <si>
    <t>TOO721</t>
  </si>
  <si>
    <t>TOO739</t>
  </si>
  <si>
    <t>TOO777</t>
  </si>
  <si>
    <t>TOO961</t>
  </si>
  <si>
    <t>P&amp;M988</t>
  </si>
  <si>
    <t>TOO802</t>
  </si>
  <si>
    <t>DiffuserAssembly</t>
  </si>
  <si>
    <t>TOO459</t>
  </si>
  <si>
    <t>TOO349</t>
  </si>
  <si>
    <t>TOO350</t>
  </si>
  <si>
    <t>TOO450</t>
  </si>
  <si>
    <t>T00151</t>
  </si>
  <si>
    <t>TOO443</t>
  </si>
  <si>
    <t>TOO453</t>
  </si>
  <si>
    <t>TOO904</t>
  </si>
  <si>
    <t>TOO985</t>
  </si>
  <si>
    <t>TOO937</t>
  </si>
  <si>
    <t>P&amp;M647</t>
  </si>
  <si>
    <t>P&amp;M713</t>
  </si>
  <si>
    <t>TOO495</t>
  </si>
  <si>
    <t>P&amp;M365</t>
  </si>
  <si>
    <t>TOO422</t>
  </si>
  <si>
    <t>TOO439</t>
  </si>
  <si>
    <t>TOO683</t>
  </si>
  <si>
    <t>TOO703</t>
  </si>
  <si>
    <t>TOO956</t>
  </si>
  <si>
    <t>TOO796</t>
  </si>
  <si>
    <t>TOO331</t>
  </si>
  <si>
    <t>TOO332</t>
  </si>
  <si>
    <t>TOO565</t>
  </si>
  <si>
    <t>TOO590</t>
  </si>
  <si>
    <t>TOO597</t>
  </si>
  <si>
    <t>TOO600</t>
  </si>
  <si>
    <t>TOO601</t>
  </si>
  <si>
    <t>TOO729</t>
  </si>
  <si>
    <t>TOO790</t>
  </si>
  <si>
    <t>TOO791</t>
  </si>
  <si>
    <t>TOO795</t>
  </si>
  <si>
    <t>TOO803</t>
  </si>
  <si>
    <t>F&amp;F120910</t>
  </si>
  <si>
    <t>TOO926</t>
  </si>
  <si>
    <t>TOO933</t>
  </si>
  <si>
    <t>TOO936</t>
  </si>
  <si>
    <t>TOO938</t>
  </si>
  <si>
    <t>P&amp;M947</t>
  </si>
  <si>
    <t>TOO690</t>
  </si>
  <si>
    <t>TOO699</t>
  </si>
  <si>
    <t>TOO700</t>
  </si>
  <si>
    <t>TOO773</t>
  </si>
  <si>
    <t>VEH2725</t>
  </si>
  <si>
    <t>P&amp;M661</t>
  </si>
  <si>
    <t>VEH2750</t>
  </si>
  <si>
    <t>VEH444</t>
  </si>
  <si>
    <t>VEH2774</t>
  </si>
  <si>
    <t>VEH2800</t>
  </si>
  <si>
    <t>TOO745</t>
  </si>
  <si>
    <t>TOO764</t>
  </si>
  <si>
    <t>P&amp;M66</t>
  </si>
  <si>
    <t>P&amp;M75</t>
  </si>
  <si>
    <t>P&amp;M742</t>
  </si>
  <si>
    <t>P&amp;M906</t>
  </si>
  <si>
    <t>P&amp;M315</t>
  </si>
  <si>
    <t>TOO942</t>
  </si>
  <si>
    <t>P&amp;M967</t>
  </si>
  <si>
    <t>TOO341</t>
  </si>
  <si>
    <t>P&amp;M801</t>
  </si>
  <si>
    <t>P&amp;M291</t>
  </si>
  <si>
    <t>P&amp;M314</t>
  </si>
  <si>
    <t>P&amp;M874</t>
  </si>
  <si>
    <t>P&amp;M876</t>
  </si>
  <si>
    <t>TOO488</t>
  </si>
  <si>
    <t>P&amp;M366</t>
  </si>
  <si>
    <t>TOO605</t>
  </si>
  <si>
    <t>P&amp;M850</t>
  </si>
  <si>
    <t>P&amp;M849</t>
  </si>
  <si>
    <t>P&amp;M833</t>
  </si>
  <si>
    <t>P&amp;M778</t>
  </si>
  <si>
    <t>P&amp;M905</t>
  </si>
  <si>
    <t>P&amp;M979</t>
  </si>
  <si>
    <t>PowderCoating</t>
  </si>
  <si>
    <t>P&amp;M582</t>
  </si>
  <si>
    <t>P&amp;M583</t>
  </si>
  <si>
    <t>P&amp;M702</t>
  </si>
  <si>
    <t>P&amp;M798</t>
  </si>
  <si>
    <t>P&amp;M863</t>
  </si>
  <si>
    <t>P&amp;M867</t>
  </si>
  <si>
    <t>P&amp;M878</t>
  </si>
  <si>
    <t>P&amp;M892</t>
  </si>
  <si>
    <t>P&amp;M916</t>
  </si>
  <si>
    <t>TOO522</t>
  </si>
  <si>
    <t>TOO559</t>
  </si>
  <si>
    <t>TOO624</t>
  </si>
  <si>
    <t>PressShop</t>
  </si>
  <si>
    <t>P&amp;M503</t>
  </si>
  <si>
    <t>P&amp;M452</t>
  </si>
  <si>
    <t>TOO451</t>
  </si>
  <si>
    <t>TOO575</t>
  </si>
  <si>
    <t>TOO595</t>
  </si>
  <si>
    <t>TOO462</t>
  </si>
  <si>
    <t>TOO685</t>
  </si>
  <si>
    <t>P&amp;M460</t>
  </si>
  <si>
    <t>P&amp;M549</t>
  </si>
  <si>
    <t>P&amp;M554</t>
  </si>
  <si>
    <t>P&amp;M865</t>
  </si>
  <si>
    <t>TOO416</t>
  </si>
  <si>
    <t>TOO467</t>
  </si>
  <si>
    <t>TOO523</t>
  </si>
  <si>
    <t>TOO540</t>
  </si>
  <si>
    <t>TOO541</t>
  </si>
  <si>
    <t>TOO542</t>
  </si>
  <si>
    <t>TOO555</t>
  </si>
  <si>
    <t>TOO557</t>
  </si>
  <si>
    <t>TOO560</t>
  </si>
  <si>
    <t>TOO578</t>
  </si>
  <si>
    <t>TOO579</t>
  </si>
  <si>
    <t>TOO591</t>
  </si>
  <si>
    <t>TOO592</t>
  </si>
  <si>
    <t>TOO594</t>
  </si>
  <si>
    <t>TOO598</t>
  </si>
  <si>
    <t>TOO599</t>
  </si>
  <si>
    <t>TOO603</t>
  </si>
  <si>
    <t>TOO604</t>
  </si>
  <si>
    <t>TOO609</t>
  </si>
  <si>
    <t>TOO635</t>
  </si>
  <si>
    <t>TOO646</t>
  </si>
  <si>
    <t>TOO727</t>
  </si>
  <si>
    <t>TOO732</t>
  </si>
  <si>
    <t>TOO797</t>
  </si>
  <si>
    <t>TOO808</t>
  </si>
  <si>
    <t>F&amp;F120909</t>
  </si>
  <si>
    <t>TOO463</t>
  </si>
  <si>
    <t>TOO519</t>
  </si>
  <si>
    <t>TOO539</t>
  </si>
  <si>
    <t>TOO546</t>
  </si>
  <si>
    <t>TOO547</t>
  </si>
  <si>
    <t>TOO548</t>
  </si>
  <si>
    <t>TOO551</t>
  </si>
  <si>
    <t>TOO963</t>
  </si>
  <si>
    <t>TOO955</t>
  </si>
  <si>
    <t>TOO552</t>
  </si>
  <si>
    <t>TOO564</t>
  </si>
  <si>
    <t>P&amp;M461</t>
  </si>
  <si>
    <t>P&amp;M482</t>
  </si>
  <si>
    <t>TOO312</t>
  </si>
  <si>
    <t>TOO525</t>
  </si>
  <si>
    <t>TOO313</t>
  </si>
  <si>
    <t>TOO370</t>
  </si>
  <si>
    <t>TOO458</t>
  </si>
  <si>
    <t>TOO484</t>
  </si>
  <si>
    <t>TOO615</t>
  </si>
  <si>
    <t>TOO637</t>
  </si>
  <si>
    <t>TOO645</t>
  </si>
  <si>
    <t>TOO486</t>
  </si>
  <si>
    <t>TOO487</t>
  </si>
  <si>
    <t>TOO496</t>
  </si>
  <si>
    <t>TOO504</t>
  </si>
  <si>
    <t>TOO516</t>
  </si>
  <si>
    <t>TOO673</t>
  </si>
  <si>
    <t>TOO698</t>
  </si>
  <si>
    <t>TOO746</t>
  </si>
  <si>
    <t>TOO751</t>
  </si>
  <si>
    <t>TOO755</t>
  </si>
  <si>
    <t>TOO788</t>
  </si>
  <si>
    <t>TOO811</t>
  </si>
  <si>
    <t>TOO845</t>
  </si>
  <si>
    <t>F&amp;F120895</t>
  </si>
  <si>
    <t>TOO960</t>
  </si>
  <si>
    <t>P&amp;M974</t>
  </si>
  <si>
    <t>P&amp;M975</t>
  </si>
  <si>
    <t>F&amp;F120714</t>
  </si>
  <si>
    <t>P&amp;M82</t>
  </si>
  <si>
    <t>P&amp;M161</t>
  </si>
  <si>
    <t>P&amp;M262</t>
  </si>
  <si>
    <t>P&amp;M278</t>
  </si>
  <si>
    <t>P&amp;M292</t>
  </si>
  <si>
    <t>P&amp;M295</t>
  </si>
  <si>
    <t>P&amp;M296</t>
  </si>
  <si>
    <t>F&amp;F120720</t>
  </si>
  <si>
    <t>F&amp;F120722</t>
  </si>
  <si>
    <t>F&amp;F120731</t>
  </si>
  <si>
    <t>F&amp;F120743</t>
  </si>
  <si>
    <t>F&amp;F120767</t>
  </si>
  <si>
    <t>F&amp;F120771</t>
  </si>
  <si>
    <t>F&amp;F120847</t>
  </si>
  <si>
    <t>F&amp;F120848</t>
  </si>
  <si>
    <t>F&amp;F120875</t>
  </si>
  <si>
    <t>F&amp;F120882</t>
  </si>
  <si>
    <t>F&amp;F513</t>
  </si>
  <si>
    <t>F&amp;F521</t>
  </si>
  <si>
    <t>F&amp;F531</t>
  </si>
  <si>
    <t>F&amp;F534</t>
  </si>
  <si>
    <t>F&amp;F537</t>
  </si>
  <si>
    <t>F&amp;F538</t>
  </si>
  <si>
    <t>TOO354</t>
  </si>
  <si>
    <t>VEH2427</t>
  </si>
  <si>
    <t>VEH2428</t>
  </si>
  <si>
    <t>F&amp;F859</t>
  </si>
  <si>
    <t>F&amp;F862</t>
  </si>
  <si>
    <t>F&amp;F877</t>
  </si>
  <si>
    <t>F&amp;F885</t>
  </si>
  <si>
    <t>F&amp;F911</t>
  </si>
  <si>
    <t>F&amp;F964</t>
  </si>
  <si>
    <t>F&amp;F120970</t>
  </si>
  <si>
    <t>F&amp;F120965</t>
  </si>
  <si>
    <t>VEH2806</t>
  </si>
  <si>
    <t>P&amp;M822</t>
  </si>
  <si>
    <t>F&amp;F120908</t>
  </si>
  <si>
    <t>InjectionMouldingfor2023</t>
  </si>
  <si>
    <t>TOO317</t>
  </si>
  <si>
    <t>TOO505</t>
  </si>
  <si>
    <t>TOO511</t>
  </si>
  <si>
    <t>TOO318</t>
  </si>
  <si>
    <t>TOO524</t>
  </si>
  <si>
    <t>TOO954</t>
  </si>
  <si>
    <t>TOO529</t>
  </si>
  <si>
    <t>TOO568</t>
  </si>
  <si>
    <t>TOO569</t>
  </si>
  <si>
    <t>TOO570</t>
  </si>
  <si>
    <t>TOO571</t>
  </si>
  <si>
    <t>TOO576</t>
  </si>
  <si>
    <t>TOO588</t>
  </si>
  <si>
    <t>TOO658</t>
  </si>
  <si>
    <t>TOO497</t>
  </si>
  <si>
    <t>TOO319</t>
  </si>
  <si>
    <t>TOO401</t>
  </si>
  <si>
    <t>TOO402</t>
  </si>
  <si>
    <t>TOO403</t>
  </si>
  <si>
    <t>TOO404</t>
  </si>
  <si>
    <t>TOO405</t>
  </si>
  <si>
    <t>TOO406</t>
  </si>
  <si>
    <t>TOO447</t>
  </si>
  <si>
    <t>TOO448</t>
  </si>
  <si>
    <t>TOO449</t>
  </si>
  <si>
    <t>TOO320</t>
  </si>
  <si>
    <t>TOO475</t>
  </si>
  <si>
    <t>TOO476</t>
  </si>
  <si>
    <t>TOO477</t>
  </si>
  <si>
    <t>TOO478</t>
  </si>
  <si>
    <t>TOO321</t>
  </si>
  <si>
    <t>TOO740</t>
  </si>
  <si>
    <t>TOO741</t>
  </si>
  <si>
    <t>TOO322</t>
  </si>
  <si>
    <t>TOO323</t>
  </si>
  <si>
    <t>TOO324</t>
  </si>
  <si>
    <t>P&amp;M887</t>
  </si>
  <si>
    <t>Arburg All Rounder  P&amp;M1009</t>
  </si>
  <si>
    <t>Arburg 25T P&amp;M1009</t>
  </si>
  <si>
    <t>Arburg 75T P&amp;M1009</t>
  </si>
  <si>
    <t>P&amp;M1016</t>
  </si>
  <si>
    <t>Hopper Dryer SHD25EB</t>
  </si>
  <si>
    <t>P&amp;M1021</t>
  </si>
  <si>
    <t>Laser Cutter 3015KE</t>
  </si>
  <si>
    <t>Years SinceBought</t>
  </si>
  <si>
    <t>Average Age x Price to get Weighting for R&amp;M</t>
  </si>
  <si>
    <t>Syspro</t>
  </si>
  <si>
    <t>Bending Brakes and PS00005</t>
  </si>
  <si>
    <t>Spot Welding and PS00006</t>
  </si>
  <si>
    <t>Grinding Stations and PS00007</t>
  </si>
  <si>
    <t>Notching an PS00008</t>
  </si>
  <si>
    <t>Rolling and PS00009</t>
  </si>
  <si>
    <t>Mig Welding  and PS00010</t>
  </si>
  <si>
    <t>Miscellaneous and PS00011</t>
  </si>
  <si>
    <t>% Change</t>
  </si>
  <si>
    <t>Depreciation - Solar</t>
  </si>
  <si>
    <t>0800/200</t>
  </si>
  <si>
    <t>***If adding in Rows change row number in Calc Sheet</t>
  </si>
  <si>
    <t>Neil</t>
  </si>
  <si>
    <t>Lamb</t>
  </si>
  <si>
    <t>c</t>
  </si>
  <si>
    <t>General Worker</t>
  </si>
  <si>
    <t>Picker/Packer</t>
  </si>
  <si>
    <t>Jaftha</t>
  </si>
  <si>
    <t>Bernard</t>
  </si>
  <si>
    <t>Manel</t>
  </si>
  <si>
    <t>Flex Duct</t>
  </si>
  <si>
    <t>Schrickker</t>
  </si>
  <si>
    <t>Leslie</t>
  </si>
  <si>
    <t>Basson</t>
  </si>
  <si>
    <t>W0000065</t>
  </si>
  <si>
    <t>W0000066</t>
  </si>
  <si>
    <t>John</t>
  </si>
  <si>
    <t>Sinton</t>
  </si>
  <si>
    <t>W0000068</t>
  </si>
  <si>
    <t>W0000069</t>
  </si>
  <si>
    <t>Reagan</t>
  </si>
  <si>
    <t>Bouwers</t>
  </si>
  <si>
    <t>W0000070</t>
  </si>
  <si>
    <t>Lorean</t>
  </si>
  <si>
    <t>Harris</t>
  </si>
  <si>
    <t>W0000071</t>
  </si>
  <si>
    <t>Zhiyanah</t>
  </si>
  <si>
    <t>Arendse</t>
  </si>
  <si>
    <t>W0000072</t>
  </si>
  <si>
    <t>Vernon</t>
  </si>
  <si>
    <t>Pelston</t>
  </si>
  <si>
    <t>Grinding</t>
  </si>
  <si>
    <t>Devito</t>
  </si>
  <si>
    <t>W0000067</t>
  </si>
  <si>
    <t>A00007</t>
  </si>
  <si>
    <t>Sales Assembly</t>
  </si>
  <si>
    <t>Victor 90 Ton</t>
  </si>
  <si>
    <t>PS00012</t>
  </si>
  <si>
    <t>Press Shop Mech Tech 50Ton</t>
  </si>
  <si>
    <t>PS00013</t>
  </si>
  <si>
    <t>Press Shop Stud Welding</t>
  </si>
  <si>
    <t>Victor 90</t>
  </si>
  <si>
    <t xml:space="preserve"> Induction Channel Assembly</t>
  </si>
  <si>
    <t>Gerhard</t>
  </si>
  <si>
    <t>Mong</t>
  </si>
  <si>
    <t>Dwain</t>
  </si>
  <si>
    <t>Van Wyk</t>
  </si>
  <si>
    <t>Riyaaz</t>
  </si>
  <si>
    <t>TOO1013</t>
  </si>
  <si>
    <t>Pedestal Drill 32mm 1100W 220V</t>
  </si>
  <si>
    <t>TOO1018</t>
  </si>
  <si>
    <t>inj mould front and back plates and locating rings</t>
  </si>
  <si>
    <t>TOO1033</t>
  </si>
  <si>
    <t>VLA pattern controller die AC47895/2</t>
  </si>
  <si>
    <t>TOO1041</t>
  </si>
  <si>
    <t>Airstatic AST-4 spray unit on trolley</t>
  </si>
  <si>
    <t>TOO1043</t>
  </si>
  <si>
    <t>Cavity Induction Mould</t>
  </si>
  <si>
    <t>TOO1044</t>
  </si>
  <si>
    <t>Cavity Shaft Mould</t>
  </si>
  <si>
    <t>TOO1049</t>
  </si>
  <si>
    <t>TOO1051</t>
  </si>
  <si>
    <t>Bosch GCM 12GDL doubel bevel saw</t>
  </si>
  <si>
    <t>P&amp;M1048</t>
  </si>
  <si>
    <t>Ceccato CDX12 Air Dryer (P/Coat)</t>
  </si>
  <si>
    <t>P&amp;M1056</t>
  </si>
  <si>
    <t>Alunimium Batch Dry Oven (P/Coat)</t>
  </si>
  <si>
    <t>C000154C</t>
  </si>
  <si>
    <t>Mosoane M</t>
  </si>
  <si>
    <t>Davids E</t>
  </si>
  <si>
    <t>Injection Moulding Department</t>
  </si>
  <si>
    <t>Ontong S</t>
  </si>
  <si>
    <t>Puza G</t>
  </si>
  <si>
    <t>Skeyi N G</t>
  </si>
  <si>
    <t>Duiker R</t>
  </si>
  <si>
    <t>Dreyer S</t>
  </si>
  <si>
    <t>Amos P</t>
  </si>
  <si>
    <t>Coakley R</t>
  </si>
  <si>
    <t>Daniels G</t>
  </si>
  <si>
    <t>Davids S</t>
  </si>
  <si>
    <t>Morkel B</t>
  </si>
  <si>
    <t>Presence R</t>
  </si>
  <si>
    <t>Geduld A</t>
  </si>
  <si>
    <t>Bailey G</t>
  </si>
  <si>
    <t>Wevers N</t>
  </si>
  <si>
    <t>Isaacs R</t>
  </si>
  <si>
    <t>Davids R</t>
  </si>
  <si>
    <t>Bailey B</t>
  </si>
  <si>
    <t>Parenzee M</t>
  </si>
  <si>
    <t>Nortje P</t>
  </si>
  <si>
    <t>Veenendaai J</t>
  </si>
  <si>
    <t>Fredericks E</t>
  </si>
  <si>
    <t>Blythe R</t>
  </si>
  <si>
    <t>Persens V</t>
  </si>
  <si>
    <t>Temporary Powder coating</t>
  </si>
  <si>
    <t>Sampson Y</t>
  </si>
  <si>
    <t>Karriem OM</t>
  </si>
  <si>
    <t>Overmeyer J</t>
  </si>
  <si>
    <t>Adams J</t>
  </si>
  <si>
    <t>Sasman C</t>
  </si>
  <si>
    <t>Ray D</t>
  </si>
  <si>
    <t>Jaftha B</t>
  </si>
  <si>
    <t>Lodewyk L</t>
  </si>
  <si>
    <t>Fortune D</t>
  </si>
  <si>
    <t>Ferguson D</t>
  </si>
  <si>
    <t>Young S</t>
  </si>
  <si>
    <t>Smith E</t>
  </si>
  <si>
    <t>Abrahams B</t>
  </si>
  <si>
    <t>Du Preez L</t>
  </si>
  <si>
    <t>Nombewu L</t>
  </si>
  <si>
    <t>Africa S</t>
  </si>
  <si>
    <t>Weber L</t>
  </si>
  <si>
    <t>Manel B</t>
  </si>
  <si>
    <t>Langa WB</t>
  </si>
  <si>
    <t>Isaacs RC</t>
  </si>
  <si>
    <t>Jacobs I</t>
  </si>
  <si>
    <t>Tshehla S</t>
  </si>
  <si>
    <t>Tlou PM</t>
  </si>
  <si>
    <t>De Kock G</t>
  </si>
  <si>
    <t>Matthews A</t>
  </si>
  <si>
    <t>Smith B</t>
  </si>
  <si>
    <t>Mahlangu MS</t>
  </si>
  <si>
    <t>TEA LADY</t>
  </si>
  <si>
    <t>Yekele MCY</t>
  </si>
  <si>
    <t>Lamb NM</t>
  </si>
  <si>
    <t>Adams TC</t>
  </si>
  <si>
    <t>Saban MS</t>
  </si>
  <si>
    <t>Schrickker GS</t>
  </si>
  <si>
    <t>Bouwers RB</t>
  </si>
  <si>
    <t>Harris LJ</t>
  </si>
  <si>
    <t>Arendse Z</t>
  </si>
  <si>
    <t>Pelston VG</t>
  </si>
  <si>
    <t>W0000073</t>
  </si>
  <si>
    <t>Mong GM</t>
  </si>
  <si>
    <t>W0000074</t>
  </si>
  <si>
    <t>Van Wyk DLM</t>
  </si>
  <si>
    <t>W0000075</t>
  </si>
  <si>
    <t>Davids Y</t>
  </si>
  <si>
    <t>W0000076</t>
  </si>
  <si>
    <t>Ravens KC</t>
  </si>
  <si>
    <t>W0000077</t>
  </si>
  <si>
    <t>Manuel MY</t>
  </si>
  <si>
    <t>W0000078</t>
  </si>
  <si>
    <t>Du Plessis D</t>
  </si>
  <si>
    <t>W0000079</t>
  </si>
  <si>
    <t>Links G</t>
  </si>
  <si>
    <t>W0000080</t>
  </si>
  <si>
    <t>Isaacs S</t>
  </si>
  <si>
    <t>W0000081</t>
  </si>
  <si>
    <t>Africa CG</t>
  </si>
  <si>
    <t>W0000082</t>
  </si>
  <si>
    <t>Domeyer V</t>
  </si>
  <si>
    <t>W0000083</t>
  </si>
  <si>
    <t>W0000084</t>
  </si>
  <si>
    <t>Basson LC</t>
  </si>
  <si>
    <t>W0000085</t>
  </si>
  <si>
    <t>Mlaba S</t>
  </si>
  <si>
    <t>W0000086</t>
  </si>
  <si>
    <t>Van Dyk A J</t>
  </si>
  <si>
    <t>W0000087</t>
  </si>
  <si>
    <t>Mc White N</t>
  </si>
  <si>
    <t>W0000088</t>
  </si>
  <si>
    <t>Booysen RD</t>
  </si>
  <si>
    <t>Other</t>
  </si>
  <si>
    <t>A00008</t>
  </si>
  <si>
    <t>Sales QC</t>
  </si>
  <si>
    <t>PS00014</t>
  </si>
  <si>
    <t>Cugini Press</t>
  </si>
  <si>
    <t>W0000090</t>
  </si>
  <si>
    <t>Jacobs R</t>
  </si>
  <si>
    <t>C000158B</t>
  </si>
  <si>
    <t>Makinta T</t>
  </si>
  <si>
    <t>W0000091</t>
  </si>
  <si>
    <t>S0000031</t>
  </si>
  <si>
    <t>D Muller</t>
  </si>
  <si>
    <t>R Samodien</t>
  </si>
  <si>
    <t>Pension and Risk</t>
  </si>
  <si>
    <t>Stores Receipt</t>
  </si>
  <si>
    <t>Fixed</t>
  </si>
  <si>
    <t>DELIVERY</t>
  </si>
  <si>
    <t>Delivery Cost</t>
  </si>
  <si>
    <t>S00003</t>
  </si>
  <si>
    <t>PC Stores receipt</t>
  </si>
  <si>
    <t>OTHER001</t>
  </si>
  <si>
    <t>OTHER002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</si>
</sst>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&quot;#,##0;[Red]\-&quot;R&quot;#,##0"/>
    <numFmt numFmtId="44" formatCode="_-&quot;R&quot;* #,##0.00_-;\-&quot;R&quot;* #,##0.00_-;_-&quot;R&quot;* &quot;-&quot;??_-;_-@_-"/>
    <numFmt numFmtId="164" formatCode="\R#,##0.00;&quot;-R&quot;#,##0.00"/>
    <numFmt numFmtId="165" formatCode="\R#,##0.00;&quot;(R&quot;#,##0.00\)"/>
    <numFmt numFmtId="166" formatCode="yyyy\/mm\/dd"/>
    <numFmt numFmtId="167" formatCode="[$R-1C09]#,##0.00;[$R-1C09]\-#,##0.00"/>
  </numFmts>
  <fonts count="4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i/>
      <sz val="12"/>
      <name val="Times New Roman"/>
      <family val="1"/>
    </font>
    <font>
      <sz val="12"/>
      <name val="Times New Roman"/>
      <family val="3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2"/>
      <name val="Rockwell"/>
      <family val="1"/>
    </font>
    <font>
      <b/>
      <sz val="14"/>
      <name val="Times New Roman"/>
      <family val="1"/>
    </font>
    <font>
      <sz val="9"/>
      <name val="Calibri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8"/>
      <color rgb="FF3C82DC"/>
      <name val="Georgia"/>
      <family val="1"/>
    </font>
    <font>
      <i/>
      <sz val="11"/>
      <color theme="1"/>
      <name val="Calibri"/>
      <family val="2"/>
      <scheme val="minor"/>
    </font>
    <font>
      <sz val="8"/>
      <color rgb="FF1E1E1E"/>
      <name val="Verdana"/>
      <family val="2"/>
    </font>
    <font>
      <b/>
      <sz val="9"/>
      <color theme="1"/>
      <name val="Verdana"/>
      <family val="2"/>
    </font>
    <font>
      <i/>
      <sz val="9"/>
      <color theme="1"/>
      <name val="Verdana"/>
      <family val="2"/>
    </font>
    <font>
      <b/>
      <sz val="8"/>
      <color rgb="FF00B0F0"/>
      <name val="Georgia"/>
      <family val="1"/>
    </font>
    <font>
      <b/>
      <i/>
      <sz val="11"/>
      <color theme="1"/>
      <name val="Calibri"/>
      <family val="2"/>
      <scheme val="minor"/>
    </font>
    <font>
      <sz val="8"/>
      <color rgb="FF00B0F0"/>
      <name val="Georgia"/>
      <family val="1"/>
    </font>
    <font>
      <sz val="8"/>
      <name val="Calibri"/>
      <family val="2"/>
      <scheme val="minor"/>
    </font>
    <font>
      <sz val="10"/>
      <name val="Arial"/>
      <family val="2"/>
    </font>
    <font>
      <sz val="8"/>
      <color rgb="FF000000"/>
      <name val="Segoe U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FF000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6F6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CDADC"/>
      </left>
      <right style="medium">
        <color rgb="FFDCDADC"/>
      </right>
      <top style="medium">
        <color rgb="FFDCDADC"/>
      </top>
      <bottom style="medium">
        <color rgb="FFDCDAD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6">
    <xf numFmtId="0" fontId="0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0" applyNumberFormat="0" applyBorder="0" applyAlignment="0" applyProtection="0"/>
    <xf numFmtId="0" fontId="15" fillId="28" borderId="16" applyNumberFormat="0" applyAlignment="0" applyProtection="0"/>
    <xf numFmtId="0" fontId="16" fillId="29" borderId="17" applyNumberFormat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30" borderId="0" applyNumberFormat="0" applyBorder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1" fillId="0" borderId="20" applyNumberFormat="0" applyFill="0" applyAlignment="0" applyProtection="0"/>
    <xf numFmtId="0" fontId="21" fillId="0" borderId="0" applyNumberFormat="0" applyFill="0" applyBorder="0" applyAlignment="0" applyProtection="0"/>
    <xf numFmtId="0" fontId="22" fillId="31" borderId="16" applyNumberFormat="0" applyAlignment="0" applyProtection="0"/>
    <xf numFmtId="0" fontId="23" fillId="0" borderId="21" applyNumberFormat="0" applyFill="0" applyAlignment="0" applyProtection="0"/>
    <xf numFmtId="0" fontId="24" fillId="32" borderId="0" applyNumberFormat="0" applyBorder="0" applyAlignment="0" applyProtection="0"/>
    <xf numFmtId="0" fontId="1" fillId="0" borderId="0"/>
    <xf numFmtId="0" fontId="1" fillId="0" borderId="0"/>
    <xf numFmtId="0" fontId="12" fillId="33" borderId="22" applyNumberFormat="0" applyFont="0" applyAlignment="0" applyProtection="0"/>
    <xf numFmtId="0" fontId="25" fillId="28" borderId="23" applyNumberFormat="0" applyAlignment="0" applyProtection="0"/>
    <xf numFmtId="9" fontId="1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24" applyNumberFormat="0" applyFill="0" applyAlignment="0" applyProtection="0"/>
    <xf numFmtId="0" fontId="28" fillId="0" borderId="0" applyNumberFormat="0" applyFill="0" applyBorder="0" applyAlignment="0" applyProtection="0"/>
    <xf numFmtId="0" fontId="40" fillId="0" borderId="0"/>
    <xf numFmtId="0" fontId="46" fillId="0" borderId="0" applyNumberFormat="0" applyFill="0" applyBorder="0" applyAlignment="0" applyProtection="0"/>
    <xf numFmtId="0" fontId="47" fillId="3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</cellStyleXfs>
  <cellXfs count="217">
    <xf numFmtId="0" fontId="0" fillId="0" borderId="0" xfId="0"/>
    <xf numFmtId="0" fontId="29" fillId="34" borderId="1" xfId="0" applyFont="1" applyFill="1" applyBorder="1" applyAlignment="1">
      <alignment horizontal="left"/>
    </xf>
    <xf numFmtId="0" fontId="29" fillId="0" borderId="1" xfId="0" applyFont="1" applyBorder="1" applyAlignment="1">
      <alignment horizontal="left"/>
    </xf>
    <xf numFmtId="10" fontId="0" fillId="0" borderId="0" xfId="0" applyNumberFormat="1"/>
    <xf numFmtId="0" fontId="29" fillId="34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27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0" fillId="0" borderId="0" xfId="0" applyFont="1"/>
    <xf numFmtId="0" fontId="29" fillId="0" borderId="25" xfId="0" applyFont="1" applyBorder="1" applyAlignment="1">
      <alignment horizontal="left"/>
    </xf>
    <xf numFmtId="0" fontId="29" fillId="34" borderId="25" xfId="0" applyFont="1" applyFill="1" applyBorder="1" applyAlignment="1">
      <alignment horizontal="left"/>
    </xf>
    <xf numFmtId="10" fontId="0" fillId="0" borderId="3" xfId="0" applyNumberFormat="1" applyBorder="1"/>
    <xf numFmtId="10" fontId="0" fillId="0" borderId="8" xfId="0" applyNumberFormat="1" applyBorder="1"/>
    <xf numFmtId="0" fontId="31" fillId="0" borderId="1" xfId="0" applyFont="1" applyBorder="1" applyAlignment="1">
      <alignment horizontal="left"/>
    </xf>
    <xf numFmtId="0" fontId="32" fillId="0" borderId="1" xfId="0" applyFont="1" applyBorder="1"/>
    <xf numFmtId="0" fontId="33" fillId="0" borderId="1" xfId="0" applyFont="1" applyBorder="1"/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29" fillId="34" borderId="1" xfId="0" quotePrefix="1" applyFont="1" applyFill="1" applyBorder="1" applyAlignment="1">
      <alignment horizontal="left"/>
    </xf>
    <xf numFmtId="6" fontId="0" fillId="0" borderId="1" xfId="0" quotePrefix="1" applyNumberFormat="1" applyBorder="1"/>
    <xf numFmtId="4" fontId="0" fillId="0" borderId="0" xfId="0" applyNumberFormat="1"/>
    <xf numFmtId="4" fontId="0" fillId="0" borderId="0" xfId="0" applyNumberFormat="1" applyAlignment="1">
      <alignment wrapText="1"/>
    </xf>
    <xf numFmtId="4" fontId="12" fillId="0" borderId="0" xfId="43" applyNumberFormat="1" applyFont="1" applyAlignment="1">
      <alignment wrapText="1"/>
    </xf>
    <xf numFmtId="4" fontId="0" fillId="0" borderId="3" xfId="0" applyNumberFormat="1" applyBorder="1"/>
    <xf numFmtId="4" fontId="0" fillId="0" borderId="4" xfId="0" applyNumberFormat="1" applyBorder="1"/>
    <xf numFmtId="4" fontId="0" fillId="0" borderId="6" xfId="0" applyNumberFormat="1" applyBorder="1"/>
    <xf numFmtId="4" fontId="0" fillId="0" borderId="9" xfId="0" applyNumberFormat="1" applyBorder="1"/>
    <xf numFmtId="10" fontId="12" fillId="0" borderId="0" xfId="43" applyNumberFormat="1" applyFont="1" applyAlignment="1">
      <alignment wrapText="1"/>
    </xf>
    <xf numFmtId="0" fontId="0" fillId="0" borderId="10" xfId="0" applyBorder="1"/>
    <xf numFmtId="3" fontId="0" fillId="0" borderId="1" xfId="0" applyNumberFormat="1" applyBorder="1"/>
    <xf numFmtId="3" fontId="0" fillId="0" borderId="0" xfId="0" applyNumberFormat="1"/>
    <xf numFmtId="2" fontId="0" fillId="0" borderId="0" xfId="0" applyNumberFormat="1"/>
    <xf numFmtId="2" fontId="0" fillId="0" borderId="3" xfId="0" applyNumberFormat="1" applyBorder="1"/>
    <xf numFmtId="2" fontId="0" fillId="0" borderId="8" xfId="0" applyNumberFormat="1" applyBorder="1"/>
    <xf numFmtId="2" fontId="0" fillId="0" borderId="1" xfId="0" applyNumberFormat="1" applyBorder="1"/>
    <xf numFmtId="0" fontId="0" fillId="0" borderId="11" xfId="0" applyBorder="1"/>
    <xf numFmtId="0" fontId="36" fillId="0" borderId="1" xfId="0" applyFont="1" applyBorder="1" applyAlignment="1">
      <alignment horizontal="left"/>
    </xf>
    <xf numFmtId="0" fontId="36" fillId="0" borderId="12" xfId="0" applyFont="1" applyBorder="1" applyAlignment="1">
      <alignment horizontal="left"/>
    </xf>
    <xf numFmtId="0" fontId="36" fillId="0" borderId="13" xfId="0" applyFont="1" applyBorder="1" applyAlignment="1">
      <alignment horizontal="left"/>
    </xf>
    <xf numFmtId="3" fontId="36" fillId="0" borderId="1" xfId="0" applyNumberFormat="1" applyFont="1" applyBorder="1" applyAlignment="1">
      <alignment horizontal="left"/>
    </xf>
    <xf numFmtId="0" fontId="36" fillId="0" borderId="11" xfId="0" applyFont="1" applyBorder="1" applyAlignment="1">
      <alignment horizontal="left"/>
    </xf>
    <xf numFmtId="3" fontId="0" fillId="0" borderId="11" xfId="0" applyNumberFormat="1" applyBorder="1"/>
    <xf numFmtId="9" fontId="0" fillId="0" borderId="5" xfId="0" applyNumberFormat="1" applyBorder="1"/>
    <xf numFmtId="9" fontId="0" fillId="0" borderId="0" xfId="0" applyNumberFormat="1"/>
    <xf numFmtId="9" fontId="0" fillId="0" borderId="11" xfId="0" applyNumberFormat="1" applyBorder="1"/>
    <xf numFmtId="9" fontId="0" fillId="0" borderId="6" xfId="0" applyNumberFormat="1" applyBorder="1"/>
    <xf numFmtId="0" fontId="3" fillId="0" borderId="0" xfId="40" applyFont="1"/>
    <xf numFmtId="3" fontId="0" fillId="0" borderId="5" xfId="0" applyNumberFormat="1" applyBorder="1"/>
    <xf numFmtId="3" fontId="0" fillId="0" borderId="6" xfId="0" applyNumberFormat="1" applyBorder="1"/>
    <xf numFmtId="0" fontId="0" fillId="35" borderId="0" xfId="0" applyFill="1"/>
    <xf numFmtId="3" fontId="0" fillId="35" borderId="0" xfId="0" applyNumberFormat="1" applyFill="1"/>
    <xf numFmtId="0" fontId="0" fillId="35" borderId="5" xfId="0" applyFill="1" applyBorder="1"/>
    <xf numFmtId="0" fontId="0" fillId="35" borderId="11" xfId="0" applyFill="1" applyBorder="1"/>
    <xf numFmtId="0" fontId="0" fillId="35" borderId="6" xfId="0" applyFill="1" applyBorder="1"/>
    <xf numFmtId="4" fontId="27" fillId="0" borderId="0" xfId="0" applyNumberFormat="1" applyFont="1"/>
    <xf numFmtId="0" fontId="9" fillId="0" borderId="0" xfId="40" applyFont="1"/>
    <xf numFmtId="0" fontId="0" fillId="36" borderId="0" xfId="0" applyFill="1"/>
    <xf numFmtId="3" fontId="0" fillId="36" borderId="0" xfId="0" applyNumberFormat="1" applyFill="1"/>
    <xf numFmtId="0" fontId="9" fillId="0" borderId="2" xfId="40" applyFont="1" applyBorder="1"/>
    <xf numFmtId="3" fontId="0" fillId="0" borderId="3" xfId="0" applyNumberFormat="1" applyBorder="1"/>
    <xf numFmtId="0" fontId="0" fillId="0" borderId="14" xfId="0" applyBorder="1"/>
    <xf numFmtId="0" fontId="2" fillId="0" borderId="5" xfId="40" applyFont="1" applyBorder="1"/>
    <xf numFmtId="0" fontId="3" fillId="0" borderId="5" xfId="40" applyFont="1" applyBorder="1"/>
    <xf numFmtId="0" fontId="4" fillId="2" borderId="5" xfId="0" applyFont="1" applyFill="1" applyBorder="1"/>
    <xf numFmtId="0" fontId="5" fillId="2" borderId="5" xfId="0" applyFont="1" applyFill="1" applyBorder="1"/>
    <xf numFmtId="0" fontId="6" fillId="0" borderId="5" xfId="0" applyFont="1" applyBorder="1"/>
    <xf numFmtId="0" fontId="7" fillId="2" borderId="5" xfId="39" applyFont="1" applyFill="1" applyBorder="1"/>
    <xf numFmtId="0" fontId="8" fillId="0" borderId="5" xfId="40" applyFont="1" applyBorder="1"/>
    <xf numFmtId="0" fontId="7" fillId="36" borderId="5" xfId="39" applyFont="1" applyFill="1" applyBorder="1"/>
    <xf numFmtId="3" fontId="0" fillId="0" borderId="8" xfId="0" applyNumberFormat="1" applyBorder="1"/>
    <xf numFmtId="0" fontId="2" fillId="0" borderId="0" xfId="40" applyFont="1"/>
    <xf numFmtId="0" fontId="3" fillId="0" borderId="7" xfId="40" applyFont="1" applyBorder="1"/>
    <xf numFmtId="3" fontId="0" fillId="0" borderId="7" xfId="0" applyNumberFormat="1" applyBorder="1"/>
    <xf numFmtId="3" fontId="0" fillId="0" borderId="10" xfId="0" applyNumberFormat="1" applyBorder="1"/>
    <xf numFmtId="3" fontId="0" fillId="0" borderId="9" xfId="0" applyNumberFormat="1" applyBorder="1"/>
    <xf numFmtId="0" fontId="7" fillId="2" borderId="7" xfId="39" applyFont="1" applyFill="1" applyBorder="1"/>
    <xf numFmtId="0" fontId="3" fillId="35" borderId="5" xfId="40" applyFont="1" applyFill="1" applyBorder="1"/>
    <xf numFmtId="0" fontId="4" fillId="35" borderId="5" xfId="0" applyFont="1" applyFill="1" applyBorder="1"/>
    <xf numFmtId="0" fontId="5" fillId="35" borderId="5" xfId="0" applyFont="1" applyFill="1" applyBorder="1"/>
    <xf numFmtId="0" fontId="7" fillId="35" borderId="5" xfId="39" applyFont="1" applyFill="1" applyBorder="1"/>
    <xf numFmtId="0" fontId="6" fillId="0" borderId="7" xfId="0" applyFont="1" applyBorder="1"/>
    <xf numFmtId="0" fontId="7" fillId="36" borderId="0" xfId="39" applyFont="1" applyFill="1"/>
    <xf numFmtId="0" fontId="0" fillId="36" borderId="3" xfId="0" applyFill="1" applyBorder="1"/>
    <xf numFmtId="3" fontId="0" fillId="35" borderId="2" xfId="0" applyNumberFormat="1" applyFill="1" applyBorder="1"/>
    <xf numFmtId="3" fontId="0" fillId="35" borderId="3" xfId="0" applyNumberFormat="1" applyFill="1" applyBorder="1"/>
    <xf numFmtId="3" fontId="0" fillId="35" borderId="14" xfId="0" applyNumberFormat="1" applyFill="1" applyBorder="1"/>
    <xf numFmtId="3" fontId="0" fillId="35" borderId="4" xfId="0" applyNumberFormat="1" applyFill="1" applyBorder="1"/>
    <xf numFmtId="14" fontId="0" fillId="0" borderId="0" xfId="0" applyNumberFormat="1"/>
    <xf numFmtId="3" fontId="32" fillId="0" borderId="1" xfId="0" applyNumberFormat="1" applyFont="1" applyBorder="1"/>
    <xf numFmtId="3" fontId="34" fillId="0" borderId="1" xfId="0" applyNumberFormat="1" applyFont="1" applyBorder="1" applyAlignment="1">
      <alignment horizontal="left" vertical="center"/>
    </xf>
    <xf numFmtId="3" fontId="29" fillId="34" borderId="1" xfId="0" applyNumberFormat="1" applyFont="1" applyFill="1" applyBorder="1" applyAlignment="1">
      <alignment horizontal="right"/>
    </xf>
    <xf numFmtId="3" fontId="34" fillId="0" borderId="1" xfId="0" applyNumberFormat="1" applyFont="1" applyBorder="1" applyAlignment="1">
      <alignment horizontal="left"/>
    </xf>
    <xf numFmtId="3" fontId="29" fillId="0" borderId="1" xfId="0" applyNumberFormat="1" applyFont="1" applyBorder="1" applyAlignment="1">
      <alignment horizontal="left"/>
    </xf>
    <xf numFmtId="3" fontId="29" fillId="34" borderId="1" xfId="0" applyNumberFormat="1" applyFont="1" applyFill="1" applyBorder="1" applyAlignment="1">
      <alignment horizontal="left"/>
    </xf>
    <xf numFmtId="3" fontId="35" fillId="0" borderId="1" xfId="0" applyNumberFormat="1" applyFont="1" applyBorder="1" applyAlignment="1">
      <alignment horizontal="left"/>
    </xf>
    <xf numFmtId="3" fontId="0" fillId="35" borderId="8" xfId="0" applyNumberFormat="1" applyFill="1" applyBorder="1"/>
    <xf numFmtId="0" fontId="7" fillId="2" borderId="0" xfId="39" applyFont="1" applyFill="1"/>
    <xf numFmtId="3" fontId="0" fillId="35" borderId="5" xfId="0" applyNumberFormat="1" applyFill="1" applyBorder="1"/>
    <xf numFmtId="3" fontId="0" fillId="35" borderId="11" xfId="0" applyNumberFormat="1" applyFill="1" applyBorder="1"/>
    <xf numFmtId="3" fontId="0" fillId="35" borderId="6" xfId="0" applyNumberFormat="1" applyFill="1" applyBorder="1"/>
    <xf numFmtId="0" fontId="7" fillId="0" borderId="15" xfId="0" applyFont="1" applyBorder="1"/>
    <xf numFmtId="0" fontId="7" fillId="0" borderId="0" xfId="0" applyFont="1"/>
    <xf numFmtId="4" fontId="7" fillId="0" borderId="0" xfId="28" applyNumberFormat="1" applyFont="1" applyBorder="1"/>
    <xf numFmtId="4" fontId="7" fillId="0" borderId="1" xfId="28" applyNumberFormat="1" applyFont="1" applyBorder="1"/>
    <xf numFmtId="10" fontId="0" fillId="0" borderId="1" xfId="0" applyNumberFormat="1" applyBorder="1"/>
    <xf numFmtId="4" fontId="0" fillId="0" borderId="1" xfId="0" applyNumberFormat="1" applyBorder="1"/>
    <xf numFmtId="0" fontId="7" fillId="0" borderId="1" xfId="0" applyFont="1" applyBorder="1"/>
    <xf numFmtId="0" fontId="10" fillId="0" borderId="1" xfId="0" applyFont="1" applyBorder="1"/>
    <xf numFmtId="4" fontId="0" fillId="35" borderId="0" xfId="0" applyNumberFormat="1" applyFill="1"/>
    <xf numFmtId="0" fontId="11" fillId="0" borderId="0" xfId="0" applyFont="1"/>
    <xf numFmtId="4" fontId="7" fillId="0" borderId="12" xfId="28" applyNumberFormat="1" applyFont="1" applyBorder="1"/>
    <xf numFmtId="0" fontId="27" fillId="0" borderId="0" xfId="0" applyFont="1" applyAlignment="1">
      <alignment horizontal="center"/>
    </xf>
    <xf numFmtId="3" fontId="27" fillId="0" borderId="0" xfId="0" applyNumberFormat="1" applyFont="1"/>
    <xf numFmtId="0" fontId="0" fillId="0" borderId="0" xfId="0" quotePrefix="1"/>
    <xf numFmtId="0" fontId="5" fillId="0" borderId="0" xfId="0" applyFont="1" applyAlignment="1">
      <alignment horizontal="left"/>
    </xf>
    <xf numFmtId="1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37" fillId="35" borderId="0" xfId="0" applyFont="1" applyFill="1"/>
    <xf numFmtId="0" fontId="27" fillId="35" borderId="0" xfId="0" applyFont="1" applyFill="1"/>
    <xf numFmtId="0" fontId="4" fillId="35" borderId="0" xfId="0" applyFont="1" applyFill="1" applyAlignment="1">
      <alignment horizontal="left"/>
    </xf>
    <xf numFmtId="17" fontId="27" fillId="0" borderId="0" xfId="0" applyNumberFormat="1" applyFont="1"/>
    <xf numFmtId="17" fontId="0" fillId="0" borderId="0" xfId="0" applyNumberFormat="1"/>
    <xf numFmtId="2" fontId="0" fillId="0" borderId="5" xfId="0" applyNumberFormat="1" applyBorder="1"/>
    <xf numFmtId="2" fontId="0" fillId="0" borderId="11" xfId="0" applyNumberFormat="1" applyBorder="1"/>
    <xf numFmtId="2" fontId="0" fillId="0" borderId="6" xfId="0" applyNumberFormat="1" applyBorder="1"/>
    <xf numFmtId="2" fontId="0" fillId="36" borderId="0" xfId="0" applyNumberFormat="1" applyFill="1"/>
    <xf numFmtId="2" fontId="0" fillId="36" borderId="11" xfId="0" applyNumberFormat="1" applyFill="1" applyBorder="1"/>
    <xf numFmtId="2" fontId="0" fillId="36" borderId="6" xfId="0" applyNumberFormat="1" applyFill="1" applyBorder="1"/>
    <xf numFmtId="3" fontId="34" fillId="34" borderId="1" xfId="0" applyNumberFormat="1" applyFont="1" applyFill="1" applyBorder="1" applyAlignment="1">
      <alignment horizontal="right"/>
    </xf>
    <xf numFmtId="3" fontId="27" fillId="0" borderId="1" xfId="0" applyNumberFormat="1" applyFont="1" applyBorder="1"/>
    <xf numFmtId="0" fontId="0" fillId="0" borderId="26" xfId="0" applyBorder="1"/>
    <xf numFmtId="0" fontId="0" fillId="37" borderId="0" xfId="0" applyFill="1"/>
    <xf numFmtId="0" fontId="5" fillId="37" borderId="0" xfId="0" applyFont="1" applyFill="1" applyAlignment="1">
      <alignment horizontal="left"/>
    </xf>
    <xf numFmtId="15" fontId="5" fillId="37" borderId="0" xfId="0" applyNumberFormat="1" applyFont="1" applyFill="1" applyAlignment="1">
      <alignment horizontal="right"/>
    </xf>
    <xf numFmtId="165" fontId="5" fillId="37" borderId="0" xfId="0" applyNumberFormat="1" applyFont="1" applyFill="1" applyAlignment="1">
      <alignment horizontal="right"/>
    </xf>
    <xf numFmtId="0" fontId="29" fillId="37" borderId="0" xfId="0" applyFont="1" applyFill="1" applyAlignment="1">
      <alignment horizontal="left"/>
    </xf>
    <xf numFmtId="10" fontId="27" fillId="0" borderId="0" xfId="0" applyNumberFormat="1" applyFont="1"/>
    <xf numFmtId="0" fontId="27" fillId="35" borderId="1" xfId="0" applyFont="1" applyFill="1" applyBorder="1"/>
    <xf numFmtId="3" fontId="0" fillId="35" borderId="1" xfId="0" applyNumberFormat="1" applyFill="1" applyBorder="1"/>
    <xf numFmtId="0" fontId="38" fillId="0" borderId="9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4" fillId="0" borderId="0" xfId="0" applyFont="1" applyAlignment="1">
      <alignment horizontal="left"/>
    </xf>
    <xf numFmtId="6" fontId="0" fillId="0" borderId="0" xfId="0" applyNumberFormat="1"/>
    <xf numFmtId="165" fontId="5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left"/>
    </xf>
    <xf numFmtId="14" fontId="27" fillId="35" borderId="0" xfId="0" quotePrefix="1" applyNumberFormat="1" applyFont="1" applyFill="1"/>
    <xf numFmtId="14" fontId="27" fillId="35" borderId="0" xfId="0" applyNumberFormat="1" applyFont="1" applyFill="1"/>
    <xf numFmtId="164" fontId="5" fillId="35" borderId="0" xfId="0" applyNumberFormat="1" applyFont="1" applyFill="1" applyAlignment="1">
      <alignment horizontal="right"/>
    </xf>
    <xf numFmtId="14" fontId="0" fillId="35" borderId="0" xfId="0" applyNumberFormat="1" applyFill="1"/>
    <xf numFmtId="0" fontId="36" fillId="35" borderId="1" xfId="0" applyFont="1" applyFill="1" applyBorder="1" applyAlignment="1">
      <alignment horizontal="left"/>
    </xf>
    <xf numFmtId="0" fontId="5" fillId="38" borderId="5" xfId="0" applyFont="1" applyFill="1" applyBorder="1"/>
    <xf numFmtId="0" fontId="0" fillId="38" borderId="0" xfId="0" applyFill="1"/>
    <xf numFmtId="3" fontId="0" fillId="38" borderId="0" xfId="0" applyNumberFormat="1" applyFill="1"/>
    <xf numFmtId="3" fontId="0" fillId="38" borderId="6" xfId="0" applyNumberFormat="1" applyFill="1" applyBorder="1"/>
    <xf numFmtId="3" fontId="0" fillId="38" borderId="11" xfId="0" applyNumberFormat="1" applyFill="1" applyBorder="1"/>
    <xf numFmtId="0" fontId="0" fillId="38" borderId="5" xfId="0" applyFill="1" applyBorder="1"/>
    <xf numFmtId="0" fontId="0" fillId="38" borderId="6" xfId="0" applyFill="1" applyBorder="1"/>
    <xf numFmtId="0" fontId="0" fillId="38" borderId="11" xfId="0" applyFill="1" applyBorder="1"/>
    <xf numFmtId="0" fontId="7" fillId="38" borderId="5" xfId="39" applyFont="1" applyFill="1" applyBorder="1"/>
    <xf numFmtId="0" fontId="6" fillId="38" borderId="5" xfId="0" applyFont="1" applyFill="1" applyBorder="1"/>
    <xf numFmtId="3" fontId="0" fillId="38" borderId="5" xfId="0" applyNumberFormat="1" applyFill="1" applyBorder="1"/>
    <xf numFmtId="3" fontId="36" fillId="35" borderId="11" xfId="0" applyNumberFormat="1" applyFont="1" applyFill="1" applyBorder="1" applyAlignment="1">
      <alignment horizontal="left"/>
    </xf>
    <xf numFmtId="3" fontId="36" fillId="35" borderId="1" xfId="0" applyNumberFormat="1" applyFont="1" applyFill="1" applyBorder="1" applyAlignment="1">
      <alignment horizontal="left"/>
    </xf>
    <xf numFmtId="9" fontId="0" fillId="35" borderId="0" xfId="0" applyNumberFormat="1" applyFill="1"/>
    <xf numFmtId="2" fontId="0" fillId="35" borderId="0" xfId="0" applyNumberFormat="1" applyFill="1"/>
    <xf numFmtId="0" fontId="27" fillId="0" borderId="5" xfId="0" applyFont="1" applyBorder="1"/>
    <xf numFmtId="0" fontId="7" fillId="0" borderId="15" xfId="47" applyFont="1" applyBorder="1"/>
    <xf numFmtId="0" fontId="41" fillId="0" borderId="0" xfId="0" applyFont="1" applyAlignment="1">
      <alignment horizontal="left" vertical="top"/>
    </xf>
    <xf numFmtId="166" fontId="41" fillId="0" borderId="0" xfId="0" applyNumberFormat="1" applyFont="1" applyAlignment="1">
      <alignment horizontal="left" vertical="top"/>
    </xf>
    <xf numFmtId="167" fontId="41" fillId="0" borderId="0" xfId="0" applyNumberFormat="1" applyFont="1" applyAlignment="1">
      <alignment horizontal="center" vertical="top"/>
    </xf>
    <xf numFmtId="2" fontId="0" fillId="38" borderId="0" xfId="0" applyNumberFormat="1" applyFill="1"/>
    <xf numFmtId="10" fontId="0" fillId="38" borderId="0" xfId="0" applyNumberFormat="1" applyFill="1"/>
    <xf numFmtId="4" fontId="42" fillId="35" borderId="0" xfId="0" applyNumberFormat="1" applyFont="1" applyFill="1"/>
    <xf numFmtId="3" fontId="27" fillId="35" borderId="5" xfId="0" applyNumberFormat="1" applyFont="1" applyFill="1" applyBorder="1"/>
    <xf numFmtId="22" fontId="0" fillId="0" borderId="0" xfId="0" applyNumberFormat="1"/>
    <xf numFmtId="3" fontId="0" fillId="0" borderId="0" xfId="0" applyNumberFormat="1" applyAlignment="1">
      <alignment wrapText="1"/>
    </xf>
    <xf numFmtId="10" fontId="0" fillId="0" borderId="11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0" fontId="0" fillId="39" borderId="27" xfId="0" applyFill="1" applyBorder="1"/>
    <xf numFmtId="0" fontId="0" fillId="0" borderId="27" xfId="0" applyBorder="1"/>
    <xf numFmtId="0" fontId="0" fillId="0" borderId="28" xfId="0" applyBorder="1"/>
    <xf numFmtId="0" fontId="0" fillId="0" borderId="0" xfId="0" applyAlignment="1">
      <alignment vertical="top"/>
    </xf>
    <xf numFmtId="10" fontId="0" fillId="35" borderId="0" xfId="43" applyNumberFormat="1" applyFont="1" applyFill="1"/>
    <xf numFmtId="0" fontId="0" fillId="40" borderId="0" xfId="0" applyFill="1"/>
    <xf numFmtId="0" fontId="0" fillId="39" borderId="0" xfId="0" applyFill="1"/>
    <xf numFmtId="0" fontId="34" fillId="34" borderId="1" xfId="0" applyFont="1" applyFill="1" applyBorder="1" applyAlignment="1">
      <alignment horizontal="left"/>
    </xf>
    <xf numFmtId="3" fontId="14" fillId="27" borderId="0" xfId="25" applyNumberFormat="1"/>
    <xf numFmtId="0" fontId="31" fillId="38" borderId="1" xfId="0" applyFont="1" applyFill="1" applyBorder="1" applyAlignment="1">
      <alignment horizontal="left"/>
    </xf>
    <xf numFmtId="0" fontId="0" fillId="38" borderId="1" xfId="0" applyFill="1" applyBorder="1"/>
    <xf numFmtId="2" fontId="0" fillId="38" borderId="1" xfId="0" applyNumberFormat="1" applyFill="1" applyBorder="1"/>
    <xf numFmtId="3" fontId="0" fillId="38" borderId="1" xfId="0" applyNumberFormat="1" applyFill="1" applyBorder="1"/>
    <xf numFmtId="4" fontId="0" fillId="38" borderId="0" xfId="0" applyNumberFormat="1" applyFill="1"/>
    <xf numFmtId="0" fontId="45" fillId="35" borderId="0" xfId="0" applyFont="1" applyFill="1"/>
    <xf numFmtId="0" fontId="27" fillId="35" borderId="5" xfId="0" applyFont="1" applyFill="1" applyBorder="1"/>
    <xf numFmtId="2" fontId="0" fillId="39" borderId="27" xfId="0" applyNumberFormat="1" applyFill="1" applyBorder="1"/>
    <xf numFmtId="0" fontId="28" fillId="0" borderId="0" xfId="0" applyFont="1"/>
    <xf numFmtId="0" fontId="28" fillId="0" borderId="5" xfId="0" applyFont="1" applyBorder="1"/>
    <xf numFmtId="6" fontId="0" fillId="0" borderId="0" xfId="0" quotePrefix="1" applyNumberFormat="1"/>
    <xf numFmtId="0" fontId="27" fillId="0" borderId="1" xfId="0" applyFont="1" applyBorder="1"/>
    <xf numFmtId="0" fontId="29" fillId="0" borderId="25" xfId="0" quotePrefix="1" applyFont="1" applyBorder="1" applyAlignment="1">
      <alignment horizontal="left"/>
    </xf>
    <xf numFmtId="3" fontId="29" fillId="0" borderId="1" xfId="0" applyNumberFormat="1" applyFont="1" applyBorder="1" applyAlignment="1">
      <alignment horizontal="right"/>
    </xf>
    <xf numFmtId="10" fontId="0" fillId="0" borderId="0" xfId="43" applyNumberFormat="1" applyFont="1" applyFill="1"/>
    <xf numFmtId="49" fontId="0" fillId="0" borderId="1" xfId="0" quotePrefix="1" applyNumberFormat="1" applyBorder="1"/>
    <xf numFmtId="0" fontId="0" fillId="41" borderId="0" xfId="0" applyFill="1"/>
    <xf numFmtId="0" fontId="28" fillId="41" borderId="0" xfId="0" applyFont="1" applyFill="1"/>
    <xf numFmtId="0" fontId="13" fillId="37" borderId="0" xfId="0" applyFont="1" applyFill="1"/>
    <xf numFmtId="3" fontId="27" fillId="0" borderId="0" xfId="0" applyNumberFormat="1" applyFont="1" applyAlignment="1">
      <alignment horizontal="center" wrapText="1"/>
    </xf>
  </cellXfs>
  <cellStyles count="5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1 2" xfId="50" xr:uid="{4258242F-4B79-41F6-83C5-6D64EBCC3734}"/>
    <cellStyle name="60% - Accent2" xfId="14" builtinId="36" customBuiltin="1"/>
    <cellStyle name="60% - Accent2 2" xfId="51" xr:uid="{3F215BCB-608D-4B25-B413-6A8122E31DDD}"/>
    <cellStyle name="60% - Accent3" xfId="15" builtinId="40" customBuiltin="1"/>
    <cellStyle name="60% - Accent3 2" xfId="52" xr:uid="{D89A86A5-7198-4E7B-844B-2622A691432F}"/>
    <cellStyle name="60% - Accent4" xfId="16" builtinId="44" customBuiltin="1"/>
    <cellStyle name="60% - Accent4 2" xfId="53" xr:uid="{61306275-58EE-4A50-AD5B-12F71350C250}"/>
    <cellStyle name="60% - Accent5" xfId="17" builtinId="48" customBuiltin="1"/>
    <cellStyle name="60% - Accent5 2" xfId="54" xr:uid="{9B394FDD-9C1A-4AF5-99B9-2AA79B008515}"/>
    <cellStyle name="60% - Accent6" xfId="18" builtinId="52" customBuiltin="1"/>
    <cellStyle name="60% - Accent6 2" xfId="55" xr:uid="{8DE5DF11-40C5-4950-9A9B-DE4D9E952C33}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Currency 2" xfId="29" xr:uid="{00000000-0005-0000-0000-00001C000000}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eutral 2" xfId="49" xr:uid="{FDF08710-A2C5-43EE-AFE0-977198542E4A}"/>
    <cellStyle name="Normal" xfId="0" builtinId="0"/>
    <cellStyle name="Normal 6" xfId="47" xr:uid="{E3013C42-206A-4BC4-9F73-AF1E8A4E0109}"/>
    <cellStyle name="Normal_Met996" xfId="39" xr:uid="{00000000-0005-0000-0000-000027000000}"/>
    <cellStyle name="Normal_PLAS9908" xfId="40" xr:uid="{00000000-0005-0000-0000-000028000000}"/>
    <cellStyle name="Note" xfId="41" builtinId="10" customBuiltin="1"/>
    <cellStyle name="Output" xfId="42" builtinId="21" customBuiltin="1"/>
    <cellStyle name="Percent" xfId="43" builtinId="5"/>
    <cellStyle name="Title" xfId="44" builtinId="15" customBuiltin="1"/>
    <cellStyle name="Title 2" xfId="48" xr:uid="{04394FB2-46F1-4285-8BBB-B66440326C1B}"/>
    <cellStyle name="Total" xfId="45" builtinId="25" customBuiltin="1"/>
    <cellStyle name="Warning Text" xfId="46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Accounting\Rickard%20Air%20Diffusion\Management%20Accounts\Templates\Management%20Temp%202026.xlsm" TargetMode="External"/><Relationship Id="rId1" Type="http://schemas.openxmlformats.org/officeDocument/2006/relationships/externalLinkPath" Target="file:///Y:\Accounting\Rickard%20Air%20Diffusion\Management%20Accounts\Templates\Management%20Temp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Data"/>
      <sheetName val="CurrData"/>
      <sheetName val="Prev"/>
      <sheetName val="BUDGET"/>
      <sheetName val="Data"/>
      <sheetName val="Breakeven"/>
      <sheetName val="Sheet1"/>
      <sheetName val="INCOME"/>
      <sheetName val="BALANCE"/>
      <sheetName val="Detail"/>
      <sheetName val="Notes"/>
      <sheetName val="Share Valuation"/>
      <sheetName val="cash flow"/>
      <sheetName val="Std Notes"/>
      <sheetName val="Order intake"/>
      <sheetName val="Profit Recon"/>
      <sheetName val="MP Check"/>
      <sheetName val="BS Notes"/>
      <sheetName val="LHA Purch"/>
      <sheetName val="Cashflow Forecast"/>
    </sheetNames>
    <sheetDataSet>
      <sheetData sheetId="0"/>
      <sheetData sheetId="1"/>
      <sheetData sheetId="2"/>
      <sheetData sheetId="3"/>
      <sheetData sheetId="4">
        <row r="14">
          <cell r="R14" t="str">
            <v>0100/400</v>
          </cell>
          <cell r="S14" t="str">
            <v>Temp Sales - for Adjust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R15" t="str">
            <v>0200/100</v>
          </cell>
          <cell r="S15" t="str">
            <v>Cost of Sales - Cape Town</v>
          </cell>
          <cell r="U15">
            <v>631573.72</v>
          </cell>
          <cell r="V15">
            <v>1003559.96</v>
          </cell>
          <cell r="W15">
            <v>1259668.8800000001</v>
          </cell>
          <cell r="X15">
            <v>1566207.9700000002</v>
          </cell>
          <cell r="Y15">
            <v>1120804.8099999996</v>
          </cell>
          <cell r="Z15">
            <v>1314568.8799999999</v>
          </cell>
          <cell r="AA15">
            <v>1589832.3899999997</v>
          </cell>
          <cell r="AB15">
            <v>1205611.6799999997</v>
          </cell>
          <cell r="AC15">
            <v>2170478.290000001</v>
          </cell>
          <cell r="AD15">
            <v>495840.6099999994</v>
          </cell>
          <cell r="AE15">
            <v>664989.5</v>
          </cell>
          <cell r="AF15">
            <v>896200.31000000052</v>
          </cell>
          <cell r="AG15">
            <v>13919337</v>
          </cell>
        </row>
        <row r="16">
          <cell r="R16" t="str">
            <v>0200/110</v>
          </cell>
          <cell r="S16" t="str">
            <v>Cost of Sales - Pretoria</v>
          </cell>
          <cell r="U16">
            <v>1908983.96</v>
          </cell>
          <cell r="V16">
            <v>2714415.08</v>
          </cell>
          <cell r="W16">
            <v>3448461.4299999997</v>
          </cell>
          <cell r="X16">
            <v>2533901.5699999994</v>
          </cell>
          <cell r="Y16">
            <v>3859025.120000001</v>
          </cell>
          <cell r="Z16">
            <v>2977742.879999999</v>
          </cell>
          <cell r="AA16">
            <v>3589284.1900000013</v>
          </cell>
          <cell r="AB16">
            <v>2851959.5799999982</v>
          </cell>
          <cell r="AC16">
            <v>2964025.200000003</v>
          </cell>
          <cell r="AD16">
            <v>705995.70999999717</v>
          </cell>
          <cell r="AE16">
            <v>322658.62000000104</v>
          </cell>
          <cell r="AF16">
            <v>1850350.1099999994</v>
          </cell>
          <cell r="AG16">
            <v>29726803.449999999</v>
          </cell>
        </row>
        <row r="17">
          <cell r="R17" t="str">
            <v>0200/140</v>
          </cell>
          <cell r="S17" t="str">
            <v>Cost of Sales - Bloemfontein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R18" t="str">
            <v>0200/150</v>
          </cell>
          <cell r="S18" t="str">
            <v>Cost of Sales - Durban</v>
          </cell>
          <cell r="U18">
            <v>230527.15</v>
          </cell>
          <cell r="V18">
            <v>537074.4</v>
          </cell>
          <cell r="W18">
            <v>208699.32999999996</v>
          </cell>
          <cell r="X18">
            <v>804187.82</v>
          </cell>
          <cell r="Y18">
            <v>386617.74</v>
          </cell>
          <cell r="Z18">
            <v>349833.16999999993</v>
          </cell>
          <cell r="AA18">
            <v>333314.27</v>
          </cell>
          <cell r="AB18">
            <v>298759.16000000015</v>
          </cell>
          <cell r="AC18">
            <v>962996.60999999987</v>
          </cell>
          <cell r="AD18">
            <v>70205.320000000298</v>
          </cell>
          <cell r="AE18">
            <v>512897.35000000009</v>
          </cell>
          <cell r="AF18">
            <v>874015.91999999993</v>
          </cell>
          <cell r="AG18">
            <v>5569128.2400000002</v>
          </cell>
        </row>
        <row r="19">
          <cell r="R19" t="str">
            <v>0200/160</v>
          </cell>
          <cell r="S19" t="str">
            <v>Cost of Sales - Port Elizabeth</v>
          </cell>
          <cell r="U19">
            <v>208653.46</v>
          </cell>
          <cell r="V19">
            <v>91765.380000000034</v>
          </cell>
          <cell r="W19">
            <v>99952.979999999981</v>
          </cell>
          <cell r="X19">
            <v>229056.62999999995</v>
          </cell>
          <cell r="Y19">
            <v>269163.54000000004</v>
          </cell>
          <cell r="Z19">
            <v>99073.979999999981</v>
          </cell>
          <cell r="AA19">
            <v>161829.51</v>
          </cell>
          <cell r="AB19">
            <v>209842.69999999995</v>
          </cell>
          <cell r="AC19">
            <v>246097.39000000013</v>
          </cell>
          <cell r="AD19">
            <v>84299.829999999842</v>
          </cell>
          <cell r="AE19">
            <v>52857.75</v>
          </cell>
          <cell r="AF19">
            <v>150268.31000000006</v>
          </cell>
          <cell r="AG19">
            <v>1902861.46</v>
          </cell>
        </row>
        <row r="20">
          <cell r="R20" t="str">
            <v>0200/170</v>
          </cell>
          <cell r="S20" t="str">
            <v>Cost of Sales - Exports</v>
          </cell>
          <cell r="U20">
            <v>2255549.04</v>
          </cell>
          <cell r="V20">
            <v>1393173.5699999998</v>
          </cell>
          <cell r="W20">
            <v>1405327.65</v>
          </cell>
          <cell r="X20">
            <v>119395.85000000056</v>
          </cell>
          <cell r="Y20">
            <v>518001.52999999933</v>
          </cell>
          <cell r="Z20">
            <v>55347.850000000559</v>
          </cell>
          <cell r="AA20">
            <v>387403.52999999933</v>
          </cell>
          <cell r="AB20">
            <v>868897.08000000007</v>
          </cell>
          <cell r="AC20">
            <v>552325.55000000075</v>
          </cell>
          <cell r="AD20">
            <v>1881228.0600000005</v>
          </cell>
          <cell r="AE20">
            <v>10223.949999999255</v>
          </cell>
          <cell r="AF20">
            <v>499369.25999999978</v>
          </cell>
          <cell r="AG20">
            <v>9946242.9199999999</v>
          </cell>
        </row>
        <row r="21">
          <cell r="R21" t="str">
            <v>0200/180</v>
          </cell>
          <cell r="S21" t="str">
            <v>Cost of Sales - Rickard Air Di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R22" t="str">
            <v>0200/190</v>
          </cell>
          <cell r="S22" t="str">
            <v>Cost of Sales - Air Systems Co</v>
          </cell>
          <cell r="U22">
            <v>535446.80000000005</v>
          </cell>
          <cell r="V22">
            <v>0</v>
          </cell>
          <cell r="W22">
            <v>0</v>
          </cell>
          <cell r="X22">
            <v>42806.789999999921</v>
          </cell>
          <cell r="Y22">
            <v>93788.090000000084</v>
          </cell>
          <cell r="Z22">
            <v>327882.56999999995</v>
          </cell>
          <cell r="AA22">
            <v>0</v>
          </cell>
          <cell r="AB22">
            <v>22855.630000000005</v>
          </cell>
          <cell r="AC22">
            <v>542050.87</v>
          </cell>
          <cell r="AD22">
            <v>141663.29000000004</v>
          </cell>
          <cell r="AE22">
            <v>0</v>
          </cell>
          <cell r="AF22">
            <v>14175.899999999907</v>
          </cell>
          <cell r="AG22">
            <v>1720669.94</v>
          </cell>
        </row>
        <row r="23">
          <cell r="R23" t="str">
            <v>0200/200</v>
          </cell>
          <cell r="S23" t="str">
            <v>Cost of Sales - Export Africa</v>
          </cell>
          <cell r="U23">
            <v>156887.84</v>
          </cell>
          <cell r="V23">
            <v>101858.94</v>
          </cell>
          <cell r="W23">
            <v>407388.54999999993</v>
          </cell>
          <cell r="X23">
            <v>136683.83000000007</v>
          </cell>
          <cell r="Y23">
            <v>56174.640000000014</v>
          </cell>
          <cell r="Z23">
            <v>575110.79</v>
          </cell>
          <cell r="AA23">
            <v>39364.689999999944</v>
          </cell>
          <cell r="AB23">
            <v>139655.20999999996</v>
          </cell>
          <cell r="AC23">
            <v>146899.33000000007</v>
          </cell>
          <cell r="AD23">
            <v>25944.800000000047</v>
          </cell>
          <cell r="AE23">
            <v>263191.90999999992</v>
          </cell>
          <cell r="AF23">
            <v>192935.46999999997</v>
          </cell>
          <cell r="AG23">
            <v>2242096</v>
          </cell>
        </row>
        <row r="24">
          <cell r="R24" t="str">
            <v>0200/290</v>
          </cell>
          <cell r="S24" t="str">
            <v>Cost of Sales - Issues/Receipt</v>
          </cell>
          <cell r="U24">
            <v>347303.75</v>
          </cell>
          <cell r="V24">
            <v>362230.29000000004</v>
          </cell>
          <cell r="W24">
            <v>663160.49</v>
          </cell>
          <cell r="X24">
            <v>448678.68999999994</v>
          </cell>
          <cell r="Y24">
            <v>-292802.19999999995</v>
          </cell>
          <cell r="Z24">
            <v>-1141025.0900000001</v>
          </cell>
          <cell r="AA24">
            <v>630806.39999999991</v>
          </cell>
          <cell r="AB24">
            <v>651215.66</v>
          </cell>
          <cell r="AC24">
            <v>527758.6399999999</v>
          </cell>
          <cell r="AD24">
            <v>525844.66000000015</v>
          </cell>
          <cell r="AE24">
            <v>-14715.600000000093</v>
          </cell>
          <cell r="AF24">
            <v>-1450749.16</v>
          </cell>
          <cell r="AG24">
            <v>1257706.53</v>
          </cell>
        </row>
        <row r="25">
          <cell r="R25" t="str">
            <v>0200/292</v>
          </cell>
          <cell r="S25" t="str">
            <v>Cost of Sales - Issues/Receipts Ottery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R26" t="str">
            <v>0200/300</v>
          </cell>
          <cell r="S26" t="str">
            <v>Cost of Sales Adjust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R27" t="str">
            <v>0200/350</v>
          </cell>
          <cell r="S27" t="str">
            <v>WIP - Cleared Variances</v>
          </cell>
          <cell r="U27">
            <v>81739.539999999994</v>
          </cell>
          <cell r="V27">
            <v>290993.53000000003</v>
          </cell>
          <cell r="W27">
            <v>25727.649999999965</v>
          </cell>
          <cell r="X27">
            <v>402079.59000000008</v>
          </cell>
          <cell r="Y27">
            <v>-13783</v>
          </cell>
          <cell r="Z27">
            <v>502991.51</v>
          </cell>
          <cell r="AA27">
            <v>-69444.229999999981</v>
          </cell>
          <cell r="AB27">
            <v>-441141.41000000003</v>
          </cell>
          <cell r="AC27">
            <v>30389.809999999939</v>
          </cell>
          <cell r="AD27">
            <v>-100087.16000000003</v>
          </cell>
          <cell r="AE27">
            <v>682999.32</v>
          </cell>
          <cell r="AF27">
            <v>624088.09000000008</v>
          </cell>
          <cell r="AG27">
            <v>2016553.24</v>
          </cell>
        </row>
        <row r="28">
          <cell r="R28" t="str">
            <v>0200/400</v>
          </cell>
          <cell r="S28" t="str">
            <v>OutWork - CTN</v>
          </cell>
          <cell r="U28">
            <v>0</v>
          </cell>
          <cell r="V28">
            <v>-1577</v>
          </cell>
          <cell r="W28">
            <v>1950</v>
          </cell>
          <cell r="X28">
            <v>0</v>
          </cell>
          <cell r="Y28">
            <v>-4280.7</v>
          </cell>
          <cell r="Z28">
            <v>0</v>
          </cell>
          <cell r="AA28">
            <v>1177</v>
          </cell>
          <cell r="AB28">
            <v>18124.95</v>
          </cell>
          <cell r="AC28">
            <v>0</v>
          </cell>
          <cell r="AD28">
            <v>0</v>
          </cell>
          <cell r="AE28">
            <v>229.79999999999927</v>
          </cell>
          <cell r="AF28">
            <v>1916.6800000000003</v>
          </cell>
          <cell r="AG28">
            <v>17540.73</v>
          </cell>
        </row>
        <row r="29">
          <cell r="R29" t="str">
            <v>0200/410</v>
          </cell>
          <cell r="S29" t="str">
            <v>Outwork - Pretoria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R30" t="str">
            <v>0200/420</v>
          </cell>
          <cell r="S30" t="str">
            <v>Outwork Recovery</v>
          </cell>
          <cell r="U30">
            <v>0</v>
          </cell>
          <cell r="V30">
            <v>-2169.19</v>
          </cell>
          <cell r="W30">
            <v>0</v>
          </cell>
          <cell r="X30">
            <v>0</v>
          </cell>
          <cell r="Y30">
            <v>-114.67999999999984</v>
          </cell>
          <cell r="Z30">
            <v>-1128.5700000000002</v>
          </cell>
          <cell r="AA30">
            <v>-229.36000000000013</v>
          </cell>
          <cell r="AB30">
            <v>3000</v>
          </cell>
          <cell r="AC30">
            <v>0</v>
          </cell>
          <cell r="AD30">
            <v>0</v>
          </cell>
          <cell r="AE30">
            <v>-642</v>
          </cell>
          <cell r="AF30">
            <v>-32.100000000000136</v>
          </cell>
          <cell r="AG30">
            <v>-1315.9000000000003</v>
          </cell>
        </row>
        <row r="31">
          <cell r="R31" t="str">
            <v>0200/600</v>
          </cell>
          <cell r="S31" t="str">
            <v>Non-Stock Purch - Steel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R32" t="str">
            <v>0200/620</v>
          </cell>
          <cell r="S32" t="str">
            <v>Non-Stock Purch - Controls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R33" t="str">
            <v>0200/640</v>
          </cell>
          <cell r="S33" t="str">
            <v>Non-Stock Purch - Powder/Wet</v>
          </cell>
          <cell r="U33">
            <v>14309.89</v>
          </cell>
          <cell r="V33">
            <v>17641.39</v>
          </cell>
          <cell r="W33">
            <v>30283.059999999998</v>
          </cell>
          <cell r="X33">
            <v>58997.740000000005</v>
          </cell>
          <cell r="Y33">
            <v>27515.960000000006</v>
          </cell>
          <cell r="Z33">
            <v>7451.6900000000023</v>
          </cell>
          <cell r="AA33">
            <v>18651.489999999991</v>
          </cell>
          <cell r="AB33">
            <v>5337.7399999999907</v>
          </cell>
          <cell r="AC33">
            <v>9332.1800000000221</v>
          </cell>
          <cell r="AD33">
            <v>10152.299999999988</v>
          </cell>
          <cell r="AE33">
            <v>37914.25</v>
          </cell>
          <cell r="AF33">
            <v>26228.989999999991</v>
          </cell>
          <cell r="AG33">
            <v>263816.68</v>
          </cell>
        </row>
        <row r="34">
          <cell r="R34" t="str">
            <v>0200/660</v>
          </cell>
          <cell r="S34" t="str">
            <v>Non-Stock Purch - Aliminium</v>
          </cell>
          <cell r="U34">
            <v>20987.200000000001</v>
          </cell>
          <cell r="V34">
            <v>44474</v>
          </cell>
          <cell r="W34">
            <v>10802</v>
          </cell>
          <cell r="X34">
            <v>10305</v>
          </cell>
          <cell r="Y34">
            <v>12641</v>
          </cell>
          <cell r="Z34">
            <v>14068</v>
          </cell>
          <cell r="AA34">
            <v>11417</v>
          </cell>
          <cell r="AB34">
            <v>7710.0000000000146</v>
          </cell>
          <cell r="AC34">
            <v>8915</v>
          </cell>
          <cell r="AD34">
            <v>7745</v>
          </cell>
          <cell r="AE34">
            <v>0</v>
          </cell>
          <cell r="AF34">
            <v>6195</v>
          </cell>
          <cell r="AG34">
            <v>155259.20000000001</v>
          </cell>
        </row>
        <row r="35">
          <cell r="R35" t="str">
            <v>0200/680</v>
          </cell>
          <cell r="S35" t="str">
            <v>Non-Stock Purch - Machine Comp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R36" t="str">
            <v>0200/700</v>
          </cell>
          <cell r="S36" t="str">
            <v>Non-Stock Purch - Other</v>
          </cell>
          <cell r="U36">
            <v>37838.42</v>
          </cell>
          <cell r="V36">
            <v>72631.41</v>
          </cell>
          <cell r="W36">
            <v>36490.14</v>
          </cell>
          <cell r="X36">
            <v>42908.25</v>
          </cell>
          <cell r="Y36">
            <v>37812.040000000008</v>
          </cell>
          <cell r="Z36">
            <v>46411.539999999979</v>
          </cell>
          <cell r="AA36">
            <v>23553.760000000009</v>
          </cell>
          <cell r="AB36">
            <v>54424</v>
          </cell>
          <cell r="AC36">
            <v>31050.479999999981</v>
          </cell>
          <cell r="AD36">
            <v>20810.070000000007</v>
          </cell>
          <cell r="AE36">
            <v>10105.880000000005</v>
          </cell>
          <cell r="AF36">
            <v>26718.070000000007</v>
          </cell>
          <cell r="AG36">
            <v>440754.06</v>
          </cell>
        </row>
        <row r="37">
          <cell r="R37" t="str">
            <v>0200/720</v>
          </cell>
          <cell r="S37" t="str">
            <v>Non-Stock Purch - Pallets</v>
          </cell>
          <cell r="U37">
            <v>-1250</v>
          </cell>
          <cell r="V37">
            <v>3100</v>
          </cell>
          <cell r="W37">
            <v>-4600</v>
          </cell>
          <cell r="X37">
            <v>7000</v>
          </cell>
          <cell r="Y37">
            <v>-7000</v>
          </cell>
          <cell r="Z37">
            <v>2800</v>
          </cell>
          <cell r="AA37">
            <v>0</v>
          </cell>
          <cell r="AB37">
            <v>-3000</v>
          </cell>
          <cell r="AC37">
            <v>4400</v>
          </cell>
          <cell r="AD37">
            <v>400</v>
          </cell>
          <cell r="AE37">
            <v>3800</v>
          </cell>
          <cell r="AF37">
            <v>-7920</v>
          </cell>
          <cell r="AG37">
            <v>-2270</v>
          </cell>
        </row>
        <row r="38">
          <cell r="R38" t="str">
            <v>0250/097</v>
          </cell>
          <cell r="S38" t="str">
            <v>Wages - Ottery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R39" t="str">
            <v>0250/098</v>
          </cell>
          <cell r="S39" t="str">
            <v>Wages - Lansdowne</v>
          </cell>
          <cell r="U39">
            <v>1073754.48</v>
          </cell>
          <cell r="V39">
            <v>1324368.2799999998</v>
          </cell>
          <cell r="W39">
            <v>968619.54</v>
          </cell>
          <cell r="X39">
            <v>976948.85000000056</v>
          </cell>
          <cell r="Y39">
            <v>1180658.1799999997</v>
          </cell>
          <cell r="Z39">
            <v>935242.49000000022</v>
          </cell>
          <cell r="AA39">
            <v>932552.62999999989</v>
          </cell>
          <cell r="AB39">
            <v>1153405.9799999995</v>
          </cell>
          <cell r="AC39">
            <v>935467.66000000015</v>
          </cell>
          <cell r="AD39">
            <v>635169.81000000052</v>
          </cell>
          <cell r="AE39">
            <v>722944.54999999888</v>
          </cell>
          <cell r="AF39">
            <v>916623.88000000082</v>
          </cell>
          <cell r="AG39">
            <v>11755756.33</v>
          </cell>
        </row>
        <row r="40">
          <cell r="R40" t="str">
            <v>0250/099</v>
          </cell>
          <cell r="S40" t="str">
            <v>Wages - Pretoria</v>
          </cell>
          <cell r="U40">
            <v>57464.62</v>
          </cell>
          <cell r="V40">
            <v>74875.38</v>
          </cell>
          <cell r="W40">
            <v>66533.010000000009</v>
          </cell>
          <cell r="X40">
            <v>69966.179999999993</v>
          </cell>
          <cell r="Y40">
            <v>91313.799999999988</v>
          </cell>
          <cell r="Z40">
            <v>59852.580000000016</v>
          </cell>
          <cell r="AA40">
            <v>57641.539999999979</v>
          </cell>
          <cell r="AB40">
            <v>79378.010000000009</v>
          </cell>
          <cell r="AC40">
            <v>69603.530000000028</v>
          </cell>
          <cell r="AD40">
            <v>47163.219999999972</v>
          </cell>
          <cell r="AE40">
            <v>46965.180000000051</v>
          </cell>
          <cell r="AF40">
            <v>66513.149999999907</v>
          </cell>
          <cell r="AG40">
            <v>787270.2</v>
          </cell>
        </row>
        <row r="41">
          <cell r="R41" t="str">
            <v>0250/100</v>
          </cell>
          <cell r="S41" t="str">
            <v>Wages - Contracts - C.T.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R42" t="str">
            <v>0250/110</v>
          </cell>
          <cell r="S42" t="str">
            <v>Wages- Contracts Broker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R43" t="str">
            <v>0250/199</v>
          </cell>
          <cell r="S43" t="str">
            <v>Purchase Price Variance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R44" t="str">
            <v>0250/210</v>
          </cell>
          <cell r="S44" t="str">
            <v>Wages - Over Time CTN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R45" t="str">
            <v>0250/220</v>
          </cell>
          <cell r="S45" t="str">
            <v>Wages - Over Time CTN</v>
          </cell>
          <cell r="U45">
            <v>85245.9</v>
          </cell>
          <cell r="V45">
            <v>93179.07</v>
          </cell>
          <cell r="W45">
            <v>81357.429999999993</v>
          </cell>
          <cell r="X45">
            <v>60020.74000000002</v>
          </cell>
          <cell r="Y45">
            <v>136415.84999999998</v>
          </cell>
          <cell r="Z45">
            <v>107415.57999999996</v>
          </cell>
          <cell r="AA45">
            <v>75393.420000000042</v>
          </cell>
          <cell r="AB45">
            <v>131615.44000000006</v>
          </cell>
          <cell r="AC45">
            <v>212398</v>
          </cell>
          <cell r="AD45">
            <v>79280.37</v>
          </cell>
          <cell r="AE45">
            <v>13498.209999999963</v>
          </cell>
          <cell r="AF45">
            <v>48877.619999999879</v>
          </cell>
          <cell r="AG45">
            <v>1124697.6299999999</v>
          </cell>
        </row>
        <row r="46">
          <cell r="R46" t="str">
            <v>0250/230</v>
          </cell>
          <cell r="S46" t="str">
            <v>Wages - Gain Share</v>
          </cell>
          <cell r="U46">
            <v>110106.71</v>
          </cell>
          <cell r="V46">
            <v>112367.29</v>
          </cell>
          <cell r="W46">
            <v>156679.96999999997</v>
          </cell>
          <cell r="X46">
            <v>102939.64000000001</v>
          </cell>
          <cell r="Y46">
            <v>118267.21999999997</v>
          </cell>
          <cell r="Z46">
            <v>31150.220000000088</v>
          </cell>
          <cell r="AA46">
            <v>117875.46999999997</v>
          </cell>
          <cell r="AB46">
            <v>82736.189999999944</v>
          </cell>
          <cell r="AC46">
            <v>150731.71000000008</v>
          </cell>
          <cell r="AD46">
            <v>39831</v>
          </cell>
          <cell r="AE46">
            <v>-12004.369999999995</v>
          </cell>
          <cell r="AF46">
            <v>57749.729999999981</v>
          </cell>
          <cell r="AG46">
            <v>1068430.78</v>
          </cell>
        </row>
        <row r="47">
          <cell r="R47" t="str">
            <v>0250/240</v>
          </cell>
          <cell r="S47" t="str">
            <v>Wages - Leave Pay</v>
          </cell>
          <cell r="U47">
            <v>110205.41</v>
          </cell>
          <cell r="V47">
            <v>110205.41</v>
          </cell>
          <cell r="W47">
            <v>110205.40999999997</v>
          </cell>
          <cell r="X47">
            <v>110205.41000000003</v>
          </cell>
          <cell r="Y47">
            <v>110205.41000000003</v>
          </cell>
          <cell r="Z47">
            <v>110205.40999999992</v>
          </cell>
          <cell r="AA47">
            <v>110205.41000000003</v>
          </cell>
          <cell r="AB47">
            <v>110205.41000000003</v>
          </cell>
          <cell r="AC47">
            <v>110205.40999999992</v>
          </cell>
          <cell r="AD47">
            <v>-38812.569999999949</v>
          </cell>
          <cell r="AE47">
            <v>14155.469999999972</v>
          </cell>
          <cell r="AF47">
            <v>16427.410000000033</v>
          </cell>
          <cell r="AG47">
            <v>983619</v>
          </cell>
        </row>
        <row r="48">
          <cell r="R48" t="str">
            <v>0250/250</v>
          </cell>
          <cell r="S48" t="str">
            <v>Wages - Over Time PTA</v>
          </cell>
          <cell r="U48">
            <v>1070.81</v>
          </cell>
          <cell r="V48">
            <v>0</v>
          </cell>
          <cell r="W48">
            <v>850.13000000000011</v>
          </cell>
          <cell r="X48">
            <v>7983.5499999999993</v>
          </cell>
          <cell r="Y48">
            <v>5480.98</v>
          </cell>
          <cell r="Z48">
            <v>14385.039999999999</v>
          </cell>
          <cell r="AA48">
            <v>275.43000000000029</v>
          </cell>
          <cell r="AB48">
            <v>61.210000000002765</v>
          </cell>
          <cell r="AC48">
            <v>0</v>
          </cell>
          <cell r="AD48">
            <v>0</v>
          </cell>
          <cell r="AE48">
            <v>91.809999999997672</v>
          </cell>
          <cell r="AF48">
            <v>690.75</v>
          </cell>
          <cell r="AG48">
            <v>30889.71</v>
          </cell>
        </row>
        <row r="49">
          <cell r="R49" t="str">
            <v>0250/260</v>
          </cell>
          <cell r="S49" t="str">
            <v>Wages - Bonus</v>
          </cell>
          <cell r="U49">
            <v>160560</v>
          </cell>
          <cell r="V49">
            <v>160560</v>
          </cell>
          <cell r="W49">
            <v>160560</v>
          </cell>
          <cell r="X49">
            <v>160560</v>
          </cell>
          <cell r="Y49">
            <v>160560</v>
          </cell>
          <cell r="Z49">
            <v>160560</v>
          </cell>
          <cell r="AA49">
            <v>160560</v>
          </cell>
          <cell r="AB49">
            <v>160560</v>
          </cell>
          <cell r="AC49">
            <v>160560</v>
          </cell>
          <cell r="AD49">
            <v>-308702.62000000011</v>
          </cell>
          <cell r="AE49">
            <v>0</v>
          </cell>
          <cell r="AF49">
            <v>0.40000000013969839</v>
          </cell>
          <cell r="AG49">
            <v>1136337.78</v>
          </cell>
        </row>
        <row r="50">
          <cell r="R50" t="str">
            <v>0250/500</v>
          </cell>
          <cell r="S50" t="str">
            <v>Wages Recovery - Productive</v>
          </cell>
          <cell r="U50">
            <v>-888343.91</v>
          </cell>
          <cell r="V50">
            <v>-876910.73999999987</v>
          </cell>
          <cell r="W50">
            <v>-929644.06</v>
          </cell>
          <cell r="X50">
            <v>-742436.16999999993</v>
          </cell>
          <cell r="Y50">
            <v>-838535.79</v>
          </cell>
          <cell r="Z50">
            <v>-680371.0700000003</v>
          </cell>
          <cell r="AA50">
            <v>-759217.68999999948</v>
          </cell>
          <cell r="AB50">
            <v>-840690.19000000041</v>
          </cell>
          <cell r="AC50">
            <v>-857806.74000000022</v>
          </cell>
          <cell r="AD50">
            <v>-481962.95999999996</v>
          </cell>
          <cell r="AE50">
            <v>-389295.37000000011</v>
          </cell>
          <cell r="AF50">
            <v>-659805.53000000026</v>
          </cell>
          <cell r="AG50">
            <v>-8945020.2200000007</v>
          </cell>
        </row>
        <row r="51">
          <cell r="R51" t="str">
            <v>0250/270</v>
          </cell>
          <cell r="S51" t="str">
            <v>Wage Accrual</v>
          </cell>
          <cell r="U51">
            <v>41114.769999999997</v>
          </cell>
          <cell r="V51">
            <v>-198892.87999999998</v>
          </cell>
          <cell r="W51">
            <v>124470.45999999999</v>
          </cell>
          <cell r="X51">
            <v>71867.61</v>
          </cell>
          <cell r="Y51">
            <v>-130583.79000000001</v>
          </cell>
          <cell r="Z51">
            <v>84428.57</v>
          </cell>
          <cell r="AA51">
            <v>76455.26999999999</v>
          </cell>
          <cell r="AB51">
            <v>-92763.87</v>
          </cell>
          <cell r="AC51">
            <v>-4381.489999999998</v>
          </cell>
          <cell r="AD51">
            <v>-129492.75999999998</v>
          </cell>
          <cell r="AE51">
            <v>111270.52999999998</v>
          </cell>
          <cell r="AF51">
            <v>37004.36</v>
          </cell>
          <cell r="AG51">
            <v>-9503.2200000000012</v>
          </cell>
        </row>
        <row r="52">
          <cell r="R52" t="str">
            <v>0250/510</v>
          </cell>
          <cell r="S52" t="str">
            <v>Wages Recovery - Non Productiv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R53" t="str">
            <v>0260/010</v>
          </cell>
          <cell r="S53" t="str">
            <v>Stock Loss/Gain - CTN</v>
          </cell>
          <cell r="U53">
            <v>-162303.57</v>
          </cell>
          <cell r="V53">
            <v>-148151.70000000001</v>
          </cell>
          <cell r="W53">
            <v>-208986.96999999997</v>
          </cell>
          <cell r="X53">
            <v>-446757.36</v>
          </cell>
          <cell r="Y53">
            <v>-81257.70000000007</v>
          </cell>
          <cell r="Z53">
            <v>912703.99</v>
          </cell>
          <cell r="AA53">
            <v>-431396.86000000004</v>
          </cell>
          <cell r="AB53">
            <v>-72551.890000000014</v>
          </cell>
          <cell r="AC53">
            <v>-307906.48</v>
          </cell>
          <cell r="AD53">
            <v>-75553.209999999963</v>
          </cell>
          <cell r="AE53">
            <v>-53844.189999999944</v>
          </cell>
          <cell r="AF53">
            <v>91607.859999999986</v>
          </cell>
          <cell r="AG53">
            <v>-984398.08</v>
          </cell>
        </row>
        <row r="54">
          <cell r="R54" t="str">
            <v>0260/015</v>
          </cell>
          <cell r="S54" t="str">
            <v>Stock Loss/Gain - Ottery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R55" t="str">
            <v>0260/020</v>
          </cell>
          <cell r="S55" t="str">
            <v>Stock Loss/Gain - PTA</v>
          </cell>
          <cell r="U55">
            <v>-201995.02</v>
          </cell>
          <cell r="V55">
            <v>41185.369999999995</v>
          </cell>
          <cell r="W55">
            <v>12782.970000000001</v>
          </cell>
          <cell r="X55">
            <v>23939.199999999997</v>
          </cell>
          <cell r="Y55">
            <v>23480.28</v>
          </cell>
          <cell r="Z55">
            <v>-108506.52</v>
          </cell>
          <cell r="AA55">
            <v>-17021.72</v>
          </cell>
          <cell r="AB55">
            <v>-36679.099999999977</v>
          </cell>
          <cell r="AC55">
            <v>7510.8299999999872</v>
          </cell>
          <cell r="AD55">
            <v>18946.899999999994</v>
          </cell>
          <cell r="AE55">
            <v>47118.22</v>
          </cell>
          <cell r="AF55">
            <v>-51885.440000000002</v>
          </cell>
          <cell r="AG55">
            <v>-241124.03</v>
          </cell>
        </row>
        <row r="56">
          <cell r="R56" t="str">
            <v>0260/030</v>
          </cell>
          <cell r="S56" t="str">
            <v>Stock Loss/Gain - DBN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R57" t="str">
            <v>0260/040</v>
          </cell>
          <cell r="S57" t="str">
            <v>Stock Loss/Gain - PE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R58" t="str">
            <v>0260/050</v>
          </cell>
          <cell r="S58" t="str">
            <v>Stock Loss/Gain - Floorstock</v>
          </cell>
          <cell r="U58">
            <v>-1571.95</v>
          </cell>
          <cell r="V58">
            <v>-136.73000000000002</v>
          </cell>
          <cell r="W58">
            <v>-3027.4399999999996</v>
          </cell>
          <cell r="X58">
            <v>-726.60000000000036</v>
          </cell>
          <cell r="Y58">
            <v>19.110000000000582</v>
          </cell>
          <cell r="Z58">
            <v>-577.25</v>
          </cell>
          <cell r="AA58">
            <v>849.04</v>
          </cell>
          <cell r="AB58">
            <v>-1494.1000000000004</v>
          </cell>
          <cell r="AC58">
            <v>4295.3899999999994</v>
          </cell>
          <cell r="AD58">
            <v>9.5600000000004002</v>
          </cell>
          <cell r="AE58">
            <v>-1442.71</v>
          </cell>
          <cell r="AF58">
            <v>-1657.0000000000005</v>
          </cell>
          <cell r="AG58">
            <v>-5460.68</v>
          </cell>
        </row>
        <row r="59">
          <cell r="R59" t="str">
            <v>0260/060</v>
          </cell>
          <cell r="S59" t="str">
            <v>Stock Loss/Gain - Non Stock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-18501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-3395.7599999999984</v>
          </cell>
          <cell r="AG59">
            <v>-21896.76</v>
          </cell>
        </row>
        <row r="60">
          <cell r="R60" t="str">
            <v>0260/097</v>
          </cell>
          <cell r="S60" t="str">
            <v>Stock Take Adjust - Floor/Bulk</v>
          </cell>
          <cell r="U60">
            <v>207349.73</v>
          </cell>
          <cell r="V60">
            <v>-72745.570000000007</v>
          </cell>
          <cell r="W60">
            <v>247844.23</v>
          </cell>
          <cell r="X60">
            <v>-25786.429999999993</v>
          </cell>
          <cell r="Y60">
            <v>171029.60000000003</v>
          </cell>
          <cell r="Z60">
            <v>129944.46999999997</v>
          </cell>
          <cell r="AA60">
            <v>100434.69999999995</v>
          </cell>
          <cell r="AB60">
            <v>240534.51</v>
          </cell>
          <cell r="AC60">
            <v>63993.409999999916</v>
          </cell>
          <cell r="AD60">
            <v>0</v>
          </cell>
          <cell r="AE60">
            <v>-239942.8899999999</v>
          </cell>
          <cell r="AF60">
            <v>178996.58999999997</v>
          </cell>
          <cell r="AG60">
            <v>1001652.35</v>
          </cell>
        </row>
        <row r="61">
          <cell r="R61" t="str">
            <v>0260/098</v>
          </cell>
          <cell r="S61" t="str">
            <v>Stock Take Adjust - PTA</v>
          </cell>
          <cell r="U61">
            <v>0</v>
          </cell>
          <cell r="V61">
            <v>5064.03</v>
          </cell>
          <cell r="W61">
            <v>198368.57</v>
          </cell>
          <cell r="X61">
            <v>33264.049999999988</v>
          </cell>
          <cell r="Y61">
            <v>1239.179999999993</v>
          </cell>
          <cell r="Z61">
            <v>0</v>
          </cell>
          <cell r="AA61">
            <v>4761.4200000000128</v>
          </cell>
          <cell r="AB61">
            <v>44125.409999999974</v>
          </cell>
          <cell r="AC61">
            <v>85822.030000000028</v>
          </cell>
          <cell r="AD61">
            <v>-4687.9099999999744</v>
          </cell>
          <cell r="AE61">
            <v>37973.139999999956</v>
          </cell>
          <cell r="AF61">
            <v>11772.580000000016</v>
          </cell>
          <cell r="AG61">
            <v>417702.5</v>
          </cell>
        </row>
        <row r="62">
          <cell r="R62" t="str">
            <v>0260/099</v>
          </cell>
          <cell r="S62" t="str">
            <v>Stock Take Adjustment</v>
          </cell>
          <cell r="U62">
            <v>-65150.62</v>
          </cell>
          <cell r="V62">
            <v>-8321.43</v>
          </cell>
          <cell r="W62">
            <v>-87575.92</v>
          </cell>
          <cell r="X62">
            <v>-417804.73</v>
          </cell>
          <cell r="Y62">
            <v>451796.25999999995</v>
          </cell>
          <cell r="Z62">
            <v>814737.35000000009</v>
          </cell>
          <cell r="AA62">
            <v>-73176.229999999981</v>
          </cell>
          <cell r="AB62">
            <v>62569.009999999893</v>
          </cell>
          <cell r="AC62">
            <v>64817.080000000075</v>
          </cell>
          <cell r="AD62">
            <v>14769.929999999935</v>
          </cell>
          <cell r="AE62">
            <v>99666.20000000007</v>
          </cell>
          <cell r="AF62">
            <v>1672798.5500000003</v>
          </cell>
          <cell r="AG62">
            <v>2529125.4500000002</v>
          </cell>
        </row>
        <row r="63">
          <cell r="R63" t="str">
            <v>0260/199</v>
          </cell>
          <cell r="S63" t="str">
            <v>Stock Write off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R64" t="str">
            <v>0500/100</v>
          </cell>
          <cell r="S64" t="str">
            <v>Cleaning (Factory)</v>
          </cell>
          <cell r="U64">
            <v>3751.59</v>
          </cell>
          <cell r="V64">
            <v>4502.5200000000004</v>
          </cell>
          <cell r="W64">
            <v>5170.83</v>
          </cell>
          <cell r="X64">
            <v>6496.85</v>
          </cell>
          <cell r="Y64">
            <v>5422.8999999999978</v>
          </cell>
          <cell r="Z64">
            <v>3713.9000000000015</v>
          </cell>
          <cell r="AA64">
            <v>4361.2000000000007</v>
          </cell>
          <cell r="AB64">
            <v>8286.9700000000012</v>
          </cell>
          <cell r="AC64">
            <v>3816.8099999999977</v>
          </cell>
          <cell r="AD64">
            <v>4960.0299999999988</v>
          </cell>
          <cell r="AE64">
            <v>1344.3300000000017</v>
          </cell>
          <cell r="AF64">
            <v>7865.9199999999983</v>
          </cell>
          <cell r="AG64">
            <v>59693.85</v>
          </cell>
        </row>
        <row r="65">
          <cell r="R65" t="str">
            <v>0500/150</v>
          </cell>
          <cell r="S65" t="str">
            <v>Consumables</v>
          </cell>
          <cell r="U65">
            <v>32741.3</v>
          </cell>
          <cell r="V65">
            <v>32127.74</v>
          </cell>
          <cell r="W65">
            <v>28985.689999999995</v>
          </cell>
          <cell r="X65">
            <v>38956.410000000018</v>
          </cell>
          <cell r="Y65">
            <v>31471.549999999988</v>
          </cell>
          <cell r="Z65">
            <v>44159.260000000009</v>
          </cell>
          <cell r="AA65">
            <v>26962.26999999999</v>
          </cell>
          <cell r="AB65">
            <v>36801.550000000017</v>
          </cell>
          <cell r="AC65">
            <v>36133.959999999963</v>
          </cell>
          <cell r="AD65">
            <v>24176.690000000002</v>
          </cell>
          <cell r="AE65">
            <v>20210.940000000002</v>
          </cell>
          <cell r="AF65">
            <v>44038.950000000012</v>
          </cell>
          <cell r="AG65">
            <v>396766.31</v>
          </cell>
        </row>
        <row r="66">
          <cell r="R66" t="str">
            <v>0500/175</v>
          </cell>
          <cell r="S66" t="str">
            <v>Gas - Ottery PC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R67" t="str">
            <v>0500/180</v>
          </cell>
          <cell r="S67" t="str">
            <v>Gas - PC Lansdowne</v>
          </cell>
          <cell r="U67">
            <v>35609.660000000003</v>
          </cell>
          <cell r="V67">
            <v>68320.01999999999</v>
          </cell>
          <cell r="W67">
            <v>37318.890000000014</v>
          </cell>
          <cell r="X67">
            <v>39844.869999999995</v>
          </cell>
          <cell r="Y67">
            <v>57496.48000000001</v>
          </cell>
          <cell r="Z67">
            <v>46360.699999999983</v>
          </cell>
          <cell r="AA67">
            <v>36073.010000000009</v>
          </cell>
          <cell r="AB67">
            <v>51559.830000000016</v>
          </cell>
          <cell r="AC67">
            <v>24370.149999999965</v>
          </cell>
          <cell r="AD67">
            <v>13694.400000000023</v>
          </cell>
          <cell r="AE67">
            <v>19512.739999999991</v>
          </cell>
          <cell r="AF67">
            <v>36014.380000000005</v>
          </cell>
          <cell r="AG67">
            <v>466175.13</v>
          </cell>
        </row>
        <row r="68">
          <cell r="R68" t="str">
            <v>0500/200</v>
          </cell>
          <cell r="S68" t="str">
            <v>Electricity - Ottery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R69" t="str">
            <v>0500/205</v>
          </cell>
          <cell r="S69" t="str">
            <v>Electricity - Babaza Park</v>
          </cell>
          <cell r="U69">
            <v>111931.68</v>
          </cell>
          <cell r="V69">
            <v>108748.09</v>
          </cell>
          <cell r="W69">
            <v>76233.350000000006</v>
          </cell>
          <cell r="X69">
            <v>97348.69</v>
          </cell>
          <cell r="Y69">
            <v>95323.159999999974</v>
          </cell>
          <cell r="Z69">
            <v>95183.030000000028</v>
          </cell>
          <cell r="AA69">
            <v>88411.030000000028</v>
          </cell>
          <cell r="AB69">
            <v>77991.599999999977</v>
          </cell>
          <cell r="AC69">
            <v>78391.839999999967</v>
          </cell>
          <cell r="AD69">
            <v>54981.849999999977</v>
          </cell>
          <cell r="AE69">
            <v>31377.480000000098</v>
          </cell>
          <cell r="AF69">
            <v>81113.429999999935</v>
          </cell>
          <cell r="AG69">
            <v>997035.23</v>
          </cell>
        </row>
        <row r="70">
          <cell r="R70" t="str">
            <v>0500/210</v>
          </cell>
          <cell r="S70" t="str">
            <v>Electricity - Pretoria</v>
          </cell>
          <cell r="U70">
            <v>16631.02</v>
          </cell>
          <cell r="V70">
            <v>16205.499999999996</v>
          </cell>
          <cell r="W70">
            <v>15914.900000000001</v>
          </cell>
          <cell r="X70">
            <v>15609.770000000004</v>
          </cell>
          <cell r="Y70">
            <v>17464.47</v>
          </cell>
          <cell r="Z70">
            <v>17233.839999999997</v>
          </cell>
          <cell r="AA70">
            <v>17583.809999999998</v>
          </cell>
          <cell r="AB70">
            <v>17725.630000000005</v>
          </cell>
          <cell r="AC70">
            <v>17773.660000000003</v>
          </cell>
          <cell r="AD70">
            <v>17455.709999999992</v>
          </cell>
          <cell r="AE70">
            <v>17579.23000000001</v>
          </cell>
          <cell r="AF70">
            <v>18473.609999999986</v>
          </cell>
          <cell r="AG70">
            <v>205651.15</v>
          </cell>
        </row>
        <row r="71">
          <cell r="R71" t="str">
            <v>0500/220</v>
          </cell>
          <cell r="S71" t="str">
            <v>Fire and Safety - Ottery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R72" t="str">
            <v>0500/225</v>
          </cell>
          <cell r="S72" t="str">
            <v>Fire Safety - lansdowne</v>
          </cell>
          <cell r="U72">
            <v>0</v>
          </cell>
          <cell r="V72">
            <v>260</v>
          </cell>
          <cell r="W72">
            <v>345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8392</v>
          </cell>
          <cell r="AG72">
            <v>8997</v>
          </cell>
        </row>
        <row r="73">
          <cell r="R73" t="str">
            <v>0500/230</v>
          </cell>
          <cell r="S73" t="str">
            <v>Fire Safety - PTA</v>
          </cell>
          <cell r="U73">
            <v>0</v>
          </cell>
          <cell r="V73">
            <v>688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688</v>
          </cell>
        </row>
        <row r="74">
          <cell r="R74" t="str">
            <v>0500/250</v>
          </cell>
          <cell r="S74" t="str">
            <v>Hiring Factory</v>
          </cell>
          <cell r="U74">
            <v>4780.72</v>
          </cell>
          <cell r="V74">
            <v>4780.72</v>
          </cell>
          <cell r="W74">
            <v>4780.7199999999993</v>
          </cell>
          <cell r="X74">
            <v>4951.4599999999991</v>
          </cell>
          <cell r="Y74">
            <v>4951.4600000000028</v>
          </cell>
          <cell r="Z74">
            <v>4951.4599999999991</v>
          </cell>
          <cell r="AA74">
            <v>4951.4599999999991</v>
          </cell>
          <cell r="AB74">
            <v>4951.4599999999991</v>
          </cell>
          <cell r="AC74">
            <v>4951.4599999999991</v>
          </cell>
          <cell r="AD74">
            <v>4951.4599999999991</v>
          </cell>
          <cell r="AE74">
            <v>5396.6100000000006</v>
          </cell>
          <cell r="AF74">
            <v>5396.6200000000026</v>
          </cell>
          <cell r="AG74">
            <v>59795.61</v>
          </cell>
        </row>
        <row r="75">
          <cell r="R75" t="str">
            <v>0500/300</v>
          </cell>
          <cell r="S75" t="str">
            <v>R&amp;M Building (Factory)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R76" t="str">
            <v>0500/302</v>
          </cell>
          <cell r="S76" t="str">
            <v>R&amp;M Building (Factory)</v>
          </cell>
          <cell r="U76">
            <v>55450.33</v>
          </cell>
          <cell r="V76">
            <v>4971.6199999999953</v>
          </cell>
          <cell r="W76">
            <v>10337.270000000004</v>
          </cell>
          <cell r="X76">
            <v>8087.9100000000035</v>
          </cell>
          <cell r="Y76">
            <v>13003.559999999998</v>
          </cell>
          <cell r="Z76">
            <v>2873.6999999999971</v>
          </cell>
          <cell r="AA76">
            <v>3030.1999999999971</v>
          </cell>
          <cell r="AB76">
            <v>30835.650000000009</v>
          </cell>
          <cell r="AC76">
            <v>4537.0099999999948</v>
          </cell>
          <cell r="AD76">
            <v>1576.3399999999965</v>
          </cell>
          <cell r="AE76">
            <v>29449.72</v>
          </cell>
          <cell r="AF76">
            <v>4333.7799999999988</v>
          </cell>
          <cell r="AG76">
            <v>168487.09</v>
          </cell>
        </row>
        <row r="77">
          <cell r="R77" t="str">
            <v>0500/305</v>
          </cell>
          <cell r="S77" t="str">
            <v>R&amp;M Building Lansdowne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</row>
        <row r="78">
          <cell r="R78" t="str">
            <v>0500/310</v>
          </cell>
          <cell r="S78" t="str">
            <v>R&amp;M Building PTA</v>
          </cell>
          <cell r="U78">
            <v>2473.16</v>
          </cell>
          <cell r="V78">
            <v>4417.93</v>
          </cell>
          <cell r="W78">
            <v>10416.700000000001</v>
          </cell>
          <cell r="X78">
            <v>190.43000000000029</v>
          </cell>
          <cell r="Y78">
            <v>250.43999999999869</v>
          </cell>
          <cell r="Z78">
            <v>20856.210000000003</v>
          </cell>
          <cell r="AA78">
            <v>4472.8299999999945</v>
          </cell>
          <cell r="AB78">
            <v>2214.4900000000052</v>
          </cell>
          <cell r="AC78">
            <v>6378.4599999999991</v>
          </cell>
          <cell r="AD78">
            <v>1832.1699999999983</v>
          </cell>
          <cell r="AE78">
            <v>1431.3000000000029</v>
          </cell>
          <cell r="AF78">
            <v>5372.9499999999971</v>
          </cell>
          <cell r="AG78">
            <v>60307.07</v>
          </cell>
        </row>
        <row r="79">
          <cell r="R79" t="str">
            <v>0500/350</v>
          </cell>
          <cell r="S79" t="str">
            <v>R&amp;M Equipment</v>
          </cell>
          <cell r="U79">
            <v>65499.13</v>
          </cell>
          <cell r="V79">
            <v>151948.32999999999</v>
          </cell>
          <cell r="W79">
            <v>20217.380000000005</v>
          </cell>
          <cell r="X79">
            <v>235934.81999999998</v>
          </cell>
          <cell r="Y79">
            <v>110946.94</v>
          </cell>
          <cell r="Z79">
            <v>62138.170000000042</v>
          </cell>
          <cell r="AA79">
            <v>127095.34999999998</v>
          </cell>
          <cell r="AB79">
            <v>67461.349999999977</v>
          </cell>
          <cell r="AC79">
            <v>32239.160000000033</v>
          </cell>
          <cell r="AD79">
            <v>34859.729999999981</v>
          </cell>
          <cell r="AE79">
            <v>33791.5</v>
          </cell>
          <cell r="AF79">
            <v>52782.839999999967</v>
          </cell>
          <cell r="AG79">
            <v>994914.7</v>
          </cell>
        </row>
        <row r="80">
          <cell r="R80" t="str">
            <v>0500/400</v>
          </cell>
          <cell r="S80" t="str">
            <v>R.S.C. Levy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</row>
        <row r="81">
          <cell r="R81" t="str">
            <v>0500/500</v>
          </cell>
          <cell r="S81" t="str">
            <v>Rates - Ottery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</row>
        <row r="82">
          <cell r="R82" t="str">
            <v>0500/505</v>
          </cell>
          <cell r="S82" t="str">
            <v>Rates - Babaza Park</v>
          </cell>
          <cell r="U82">
            <v>18990.830000000002</v>
          </cell>
          <cell r="V82">
            <v>18378.21</v>
          </cell>
          <cell r="W82">
            <v>18990.830000000002</v>
          </cell>
          <cell r="X82">
            <v>18378.230000000003</v>
          </cell>
          <cell r="Y82">
            <v>20504.51999999999</v>
          </cell>
          <cell r="Z82">
            <v>20504.540000000008</v>
          </cell>
          <cell r="AA82">
            <v>19843.100000000006</v>
          </cell>
          <cell r="AB82">
            <v>20504.53</v>
          </cell>
          <cell r="AC82">
            <v>19843.109999999986</v>
          </cell>
          <cell r="AD82">
            <v>20504.53</v>
          </cell>
          <cell r="AE82">
            <v>20504.540000000008</v>
          </cell>
          <cell r="AF82">
            <v>18520.23000000001</v>
          </cell>
          <cell r="AG82">
            <v>235467.2</v>
          </cell>
        </row>
        <row r="83">
          <cell r="R83" t="str">
            <v>0500/510</v>
          </cell>
          <cell r="S83" t="str">
            <v>Rates - Pretoria</v>
          </cell>
          <cell r="U83">
            <v>2898.45</v>
          </cell>
          <cell r="V83">
            <v>2898.45</v>
          </cell>
          <cell r="W83">
            <v>2898.4500000000007</v>
          </cell>
          <cell r="X83">
            <v>2898.4499999999989</v>
          </cell>
          <cell r="Y83">
            <v>3015.4400000000005</v>
          </cell>
          <cell r="Z83">
            <v>3051.0399999999991</v>
          </cell>
          <cell r="AA83">
            <v>3051.0400000000009</v>
          </cell>
          <cell r="AB83">
            <v>3051.0400000000009</v>
          </cell>
          <cell r="AC83">
            <v>3051.0400000000009</v>
          </cell>
          <cell r="AD83">
            <v>3051.0399999999972</v>
          </cell>
          <cell r="AE83">
            <v>3051.0400000000045</v>
          </cell>
          <cell r="AF83">
            <v>3051.0399999999936</v>
          </cell>
          <cell r="AG83">
            <v>35966.519999999997</v>
          </cell>
        </row>
        <row r="84">
          <cell r="R84" t="str">
            <v>0500/550</v>
          </cell>
          <cell r="S84" t="str">
            <v>Refuse Removal - Ottery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</row>
        <row r="85">
          <cell r="R85" t="str">
            <v>0500/555</v>
          </cell>
          <cell r="S85" t="str">
            <v>Refuse Removal - Babaza Park</v>
          </cell>
          <cell r="U85">
            <v>7543.51</v>
          </cell>
          <cell r="V85">
            <v>7764.07</v>
          </cell>
          <cell r="W85">
            <v>7918.6900000000005</v>
          </cell>
          <cell r="X85">
            <v>5141.4399999999987</v>
          </cell>
          <cell r="Y85">
            <v>13676.950000000004</v>
          </cell>
          <cell r="Z85">
            <v>12243.109999999993</v>
          </cell>
          <cell r="AA85">
            <v>11446.230000000003</v>
          </cell>
          <cell r="AB85">
            <v>13075.949999999997</v>
          </cell>
          <cell r="AC85">
            <v>12521.630000000005</v>
          </cell>
          <cell r="AD85">
            <v>12780.209999999992</v>
          </cell>
          <cell r="AE85">
            <v>9637.820000000007</v>
          </cell>
          <cell r="AF85">
            <v>11973.649999999994</v>
          </cell>
          <cell r="AG85">
            <v>125723.26</v>
          </cell>
        </row>
        <row r="86">
          <cell r="R86" t="str">
            <v>0500/560</v>
          </cell>
          <cell r="S86" t="str">
            <v>Refuse Removal - Pretoria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R87" t="str">
            <v>0500/600</v>
          </cell>
          <cell r="S87" t="str">
            <v>Security - Alarm - C.T.</v>
          </cell>
          <cell r="U87">
            <v>421.74</v>
          </cell>
          <cell r="V87">
            <v>421.74</v>
          </cell>
          <cell r="W87">
            <v>785.21</v>
          </cell>
          <cell r="X87">
            <v>421.73999999999978</v>
          </cell>
          <cell r="Y87">
            <v>542.60000000000036</v>
          </cell>
          <cell r="Z87">
            <v>421.73999999999978</v>
          </cell>
          <cell r="AA87">
            <v>463.90999999999985</v>
          </cell>
          <cell r="AB87">
            <v>563.91000000000031</v>
          </cell>
          <cell r="AC87">
            <v>463.90999999999985</v>
          </cell>
          <cell r="AD87">
            <v>463.90999999999985</v>
          </cell>
          <cell r="AE87">
            <v>463.90999999999985</v>
          </cell>
          <cell r="AF87">
            <v>663.90999999999985</v>
          </cell>
          <cell r="AG87">
            <v>6098.23</v>
          </cell>
        </row>
        <row r="88">
          <cell r="R88" t="str">
            <v>0500/610</v>
          </cell>
          <cell r="S88" t="str">
            <v>Security - Alarms - Babaza Park</v>
          </cell>
          <cell r="U88">
            <v>26783.91</v>
          </cell>
          <cell r="V88">
            <v>26783.91</v>
          </cell>
          <cell r="W88">
            <v>26783.909999999996</v>
          </cell>
          <cell r="X88">
            <v>26783.910000000003</v>
          </cell>
          <cell r="Y88">
            <v>26783.909999999989</v>
          </cell>
          <cell r="Z88">
            <v>26783.910000000003</v>
          </cell>
          <cell r="AA88">
            <v>26783.910000000003</v>
          </cell>
          <cell r="AB88">
            <v>26783.910000000003</v>
          </cell>
          <cell r="AC88">
            <v>26783.910000000003</v>
          </cell>
          <cell r="AD88">
            <v>26783.909999999974</v>
          </cell>
          <cell r="AE88">
            <v>26783.910000000033</v>
          </cell>
          <cell r="AF88">
            <v>26783.909999999974</v>
          </cell>
          <cell r="AG88">
            <v>321406.92</v>
          </cell>
        </row>
        <row r="89">
          <cell r="R89" t="str">
            <v>0500/620</v>
          </cell>
          <cell r="S89" t="str">
            <v>Security - Alarms - PTA</v>
          </cell>
          <cell r="U89">
            <v>1296.52</v>
          </cell>
          <cell r="V89">
            <v>742.38000000000011</v>
          </cell>
          <cell r="W89">
            <v>742.38000000000011</v>
          </cell>
          <cell r="X89">
            <v>621.52</v>
          </cell>
          <cell r="Y89">
            <v>742.38000000000011</v>
          </cell>
          <cell r="Z89">
            <v>621.51999999999953</v>
          </cell>
          <cell r="AA89">
            <v>621.52000000000044</v>
          </cell>
          <cell r="AB89">
            <v>621.51999999999953</v>
          </cell>
          <cell r="AC89">
            <v>621.52000000000044</v>
          </cell>
          <cell r="AD89">
            <v>1045.6499999999996</v>
          </cell>
          <cell r="AE89">
            <v>683.67000000000007</v>
          </cell>
          <cell r="AF89">
            <v>683.67000000000007</v>
          </cell>
          <cell r="AG89">
            <v>9044.25</v>
          </cell>
        </row>
        <row r="90">
          <cell r="R90" t="str">
            <v>0500/650</v>
          </cell>
          <cell r="S90" t="str">
            <v>Tooling</v>
          </cell>
          <cell r="U90">
            <v>16937.84</v>
          </cell>
          <cell r="V90">
            <v>7968.32</v>
          </cell>
          <cell r="W90">
            <v>12750.920000000002</v>
          </cell>
          <cell r="X90">
            <v>4234.4399999999951</v>
          </cell>
          <cell r="Y90">
            <v>20667.670000000006</v>
          </cell>
          <cell r="Z90">
            <v>12865.619999999995</v>
          </cell>
          <cell r="AA90">
            <v>4989.4700000000012</v>
          </cell>
          <cell r="AB90">
            <v>19655.910000000003</v>
          </cell>
          <cell r="AC90">
            <v>11595.830000000002</v>
          </cell>
          <cell r="AD90">
            <v>7257.7399999999907</v>
          </cell>
          <cell r="AE90">
            <v>5957.7799999999988</v>
          </cell>
          <cell r="AF90">
            <v>8508.5099999999948</v>
          </cell>
          <cell r="AG90">
            <v>133390.04999999999</v>
          </cell>
        </row>
        <row r="91">
          <cell r="R91" t="str">
            <v>0500/700</v>
          </cell>
          <cell r="S91" t="str">
            <v>Water - Ottery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</row>
        <row r="92">
          <cell r="R92" t="str">
            <v>0500/705</v>
          </cell>
          <cell r="S92" t="str">
            <v>Water - Babaza Park</v>
          </cell>
          <cell r="U92">
            <v>6334.29</v>
          </cell>
          <cell r="V92">
            <v>6755.13</v>
          </cell>
          <cell r="W92">
            <v>5667.9600000000009</v>
          </cell>
          <cell r="X92">
            <v>4756.1399999999994</v>
          </cell>
          <cell r="Y92">
            <v>9806.5099999999984</v>
          </cell>
          <cell r="Z92">
            <v>9790.5200000000041</v>
          </cell>
          <cell r="AA92">
            <v>8465.4099999999962</v>
          </cell>
          <cell r="AB92">
            <v>10964.18</v>
          </cell>
          <cell r="AC92">
            <v>9979.820000000007</v>
          </cell>
          <cell r="AD92">
            <v>10547.719999999987</v>
          </cell>
          <cell r="AE92">
            <v>7481.0600000000122</v>
          </cell>
          <cell r="AF92">
            <v>9411.9199999999983</v>
          </cell>
          <cell r="AG92">
            <v>99960.66</v>
          </cell>
        </row>
        <row r="93">
          <cell r="R93" t="str">
            <v>0500/710</v>
          </cell>
          <cell r="S93" t="str">
            <v>Water - Pretoria</v>
          </cell>
          <cell r="U93">
            <v>370.42</v>
          </cell>
          <cell r="V93">
            <v>1064.9499999999998</v>
          </cell>
          <cell r="W93">
            <v>742.07000000000016</v>
          </cell>
          <cell r="X93">
            <v>788.36999999999989</v>
          </cell>
          <cell r="Y93">
            <v>833.67000000000007</v>
          </cell>
          <cell r="Z93">
            <v>905.41999999999962</v>
          </cell>
          <cell r="AA93">
            <v>905.42000000000007</v>
          </cell>
          <cell r="AB93">
            <v>802.07999999999993</v>
          </cell>
          <cell r="AC93">
            <v>905.42000000000007</v>
          </cell>
          <cell r="AD93">
            <v>905.42000000000007</v>
          </cell>
          <cell r="AE93">
            <v>543.73999999999978</v>
          </cell>
          <cell r="AF93">
            <v>957.09000000000015</v>
          </cell>
          <cell r="AG93">
            <v>9724.07</v>
          </cell>
        </row>
        <row r="94">
          <cell r="R94" t="str">
            <v>0600/100</v>
          </cell>
          <cell r="S94" t="str">
            <v>Staff Costs - Protective Cloth</v>
          </cell>
          <cell r="U94">
            <v>550</v>
          </cell>
          <cell r="V94">
            <v>0</v>
          </cell>
          <cell r="W94">
            <v>37626.519999999997</v>
          </cell>
          <cell r="X94">
            <v>29840.120000000003</v>
          </cell>
          <cell r="Y94">
            <v>26739.690000000002</v>
          </cell>
          <cell r="Z94">
            <v>7929.7200000000012</v>
          </cell>
          <cell r="AA94">
            <v>1799.3399999999965</v>
          </cell>
          <cell r="AB94">
            <v>2914.4100000000035</v>
          </cell>
          <cell r="AC94">
            <v>1251.3000000000029</v>
          </cell>
          <cell r="AD94">
            <v>0</v>
          </cell>
          <cell r="AE94">
            <v>0</v>
          </cell>
          <cell r="AF94">
            <v>-665.22000000000116</v>
          </cell>
          <cell r="AG94">
            <v>107985.88</v>
          </cell>
        </row>
        <row r="95">
          <cell r="R95" t="str">
            <v>0600/150</v>
          </cell>
          <cell r="S95" t="str">
            <v>Staff Costs - Welfare (Factory</v>
          </cell>
          <cell r="U95">
            <v>17245.73</v>
          </cell>
          <cell r="V95">
            <v>9104.7799999999988</v>
          </cell>
          <cell r="W95">
            <v>14190.95</v>
          </cell>
          <cell r="X95">
            <v>20484.629999999997</v>
          </cell>
          <cell r="Y95">
            <v>16116.880000000005</v>
          </cell>
          <cell r="Z95">
            <v>34962.100000000006</v>
          </cell>
          <cell r="AA95">
            <v>10004.539999999994</v>
          </cell>
          <cell r="AB95">
            <v>11447.37999999999</v>
          </cell>
          <cell r="AC95">
            <v>12027.820000000007</v>
          </cell>
          <cell r="AD95">
            <v>9601.8399999999965</v>
          </cell>
          <cell r="AE95">
            <v>1815.2000000000116</v>
          </cell>
          <cell r="AF95">
            <v>11779.790000000008</v>
          </cell>
          <cell r="AG95">
            <v>168781.64</v>
          </cell>
        </row>
        <row r="96">
          <cell r="R96" t="str">
            <v>0600/160</v>
          </cell>
          <cell r="S96" t="str">
            <v>Staff Costs - Welfare PTA</v>
          </cell>
          <cell r="U96">
            <v>0</v>
          </cell>
          <cell r="V96">
            <v>2287.7399999999998</v>
          </cell>
          <cell r="W96">
            <v>1610.1400000000003</v>
          </cell>
          <cell r="X96">
            <v>4401.4299999999994</v>
          </cell>
          <cell r="Y96">
            <v>4127.93</v>
          </cell>
          <cell r="Z96">
            <v>2401.5</v>
          </cell>
          <cell r="AA96">
            <v>724.5</v>
          </cell>
          <cell r="AB96">
            <v>1229.8799999999992</v>
          </cell>
          <cell r="AC96">
            <v>2100.510000000002</v>
          </cell>
          <cell r="AD96">
            <v>528.98999999999796</v>
          </cell>
          <cell r="AE96">
            <v>0</v>
          </cell>
          <cell r="AF96">
            <v>1793.510000000002</v>
          </cell>
          <cell r="AG96">
            <v>21206.13</v>
          </cell>
        </row>
        <row r="97">
          <cell r="R97" t="str">
            <v>0600/200</v>
          </cell>
          <cell r="S97" t="str">
            <v>Staff Costs - Overtime meals</v>
          </cell>
          <cell r="U97">
            <v>990</v>
          </cell>
          <cell r="V97">
            <v>3540</v>
          </cell>
          <cell r="W97">
            <v>3120</v>
          </cell>
          <cell r="X97">
            <v>1230</v>
          </cell>
          <cell r="Y97">
            <v>3780</v>
          </cell>
          <cell r="Z97">
            <v>4110</v>
          </cell>
          <cell r="AA97">
            <v>1050</v>
          </cell>
          <cell r="AB97">
            <v>4650</v>
          </cell>
          <cell r="AC97">
            <v>8280</v>
          </cell>
          <cell r="AD97">
            <v>3450</v>
          </cell>
          <cell r="AE97">
            <v>0</v>
          </cell>
          <cell r="AF97">
            <v>630</v>
          </cell>
          <cell r="AG97">
            <v>34830</v>
          </cell>
        </row>
        <row r="98">
          <cell r="R98" t="str">
            <v>0600/210</v>
          </cell>
          <cell r="S98" t="str">
            <v>Staff Costs - OT meals Broker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</row>
        <row r="99">
          <cell r="R99" t="str">
            <v>0600/250</v>
          </cell>
          <cell r="S99" t="str">
            <v>Salaries - Normal (Factory)</v>
          </cell>
          <cell r="U99">
            <v>164075.04999999999</v>
          </cell>
          <cell r="V99">
            <v>164075</v>
          </cell>
          <cell r="W99">
            <v>164075</v>
          </cell>
          <cell r="X99">
            <v>164075.00000000006</v>
          </cell>
          <cell r="Y99">
            <v>164075.04999999993</v>
          </cell>
          <cell r="Z99">
            <v>167942.11</v>
          </cell>
          <cell r="AA99">
            <v>175676.19999999995</v>
          </cell>
          <cell r="AB99">
            <v>175679.40000000014</v>
          </cell>
          <cell r="AC99">
            <v>175676.25</v>
          </cell>
          <cell r="AD99">
            <v>173611.90999999992</v>
          </cell>
          <cell r="AE99">
            <v>174876.19999999995</v>
          </cell>
          <cell r="AF99">
            <v>175676.20000000019</v>
          </cell>
          <cell r="AG99">
            <v>2039513.37</v>
          </cell>
        </row>
        <row r="100">
          <cell r="R100" t="str">
            <v>0600/300</v>
          </cell>
          <cell r="S100" t="str">
            <v>Salaries - Bonus ( Factory)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R101" t="str">
            <v>0600/350</v>
          </cell>
          <cell r="S101" t="str">
            <v>Wages - N.I.C (Co Contrib) Pen</v>
          </cell>
          <cell r="U101">
            <v>103489.25</v>
          </cell>
          <cell r="V101">
            <v>125467.15</v>
          </cell>
          <cell r="W101">
            <v>97158.139999999985</v>
          </cell>
          <cell r="X101">
            <v>98670.800000000047</v>
          </cell>
          <cell r="Y101">
            <v>120099.29999999999</v>
          </cell>
          <cell r="Z101">
            <v>98220.599999999977</v>
          </cell>
          <cell r="AA101">
            <v>98814.959999999963</v>
          </cell>
          <cell r="AB101">
            <v>119209.81000000006</v>
          </cell>
          <cell r="AC101">
            <v>99678.280000000028</v>
          </cell>
          <cell r="AD101">
            <v>118264.07000000007</v>
          </cell>
          <cell r="AE101">
            <v>80462.179999999935</v>
          </cell>
          <cell r="AF101">
            <v>98146.669999999925</v>
          </cell>
          <cell r="AG101">
            <v>1257681.21</v>
          </cell>
        </row>
        <row r="102">
          <cell r="R102" t="str">
            <v>0600/360</v>
          </cell>
          <cell r="S102" t="str">
            <v>Wages - N.I.C (Co Contrib) Pen</v>
          </cell>
          <cell r="U102">
            <v>2221.46</v>
          </cell>
          <cell r="V102">
            <v>2747.1400000000003</v>
          </cell>
          <cell r="W102">
            <v>2066.5199999999995</v>
          </cell>
          <cell r="X102">
            <v>2059.420000000001</v>
          </cell>
          <cell r="Y102">
            <v>2368.8799999999992</v>
          </cell>
          <cell r="Z102">
            <v>1974.4300000000003</v>
          </cell>
          <cell r="AA102">
            <v>1957.2399999999998</v>
          </cell>
          <cell r="AB102">
            <v>2429.5099999999984</v>
          </cell>
          <cell r="AC102">
            <v>1979.3400000000001</v>
          </cell>
          <cell r="AD102">
            <v>2409.9400000000023</v>
          </cell>
          <cell r="AE102">
            <v>1475.4199999999983</v>
          </cell>
          <cell r="AF102">
            <v>1946.5800000000017</v>
          </cell>
          <cell r="AG102">
            <v>25635.88</v>
          </cell>
        </row>
        <row r="103">
          <cell r="R103" t="str">
            <v>0600/400</v>
          </cell>
          <cell r="S103" t="str">
            <v>Wages - U.I.F (Co. Contrib)</v>
          </cell>
          <cell r="U103">
            <v>13780.82</v>
          </cell>
          <cell r="V103">
            <v>14950.599999999999</v>
          </cell>
          <cell r="W103">
            <v>11454.410000000003</v>
          </cell>
          <cell r="X103">
            <v>11196.39</v>
          </cell>
          <cell r="Y103">
            <v>13364.349999999999</v>
          </cell>
          <cell r="Z103">
            <v>11042.780000000006</v>
          </cell>
          <cell r="AA103">
            <v>12673.259999999995</v>
          </cell>
          <cell r="AB103">
            <v>12618.419999999998</v>
          </cell>
          <cell r="AC103">
            <v>11459.630000000005</v>
          </cell>
          <cell r="AD103">
            <v>12843.419999999998</v>
          </cell>
          <cell r="AE103">
            <v>8092.8799999999901</v>
          </cell>
          <cell r="AF103">
            <v>10411.690000000002</v>
          </cell>
          <cell r="AG103">
            <v>143888.65</v>
          </cell>
        </row>
        <row r="104">
          <cell r="R104" t="str">
            <v>0600/450</v>
          </cell>
          <cell r="S104" t="str">
            <v>Wages - U.I.F (Co. Contrib)PTA</v>
          </cell>
          <cell r="U104">
            <v>840.24</v>
          </cell>
          <cell r="V104">
            <v>798.84999999999991</v>
          </cell>
          <cell r="W104">
            <v>660.52000000000021</v>
          </cell>
          <cell r="X104">
            <v>843.27</v>
          </cell>
          <cell r="Y104">
            <v>998.64000000000033</v>
          </cell>
          <cell r="Z104">
            <v>956.96999999999935</v>
          </cell>
          <cell r="AA104">
            <v>824.46</v>
          </cell>
          <cell r="AB104">
            <v>861.77999999999975</v>
          </cell>
          <cell r="AC104">
            <v>640.01000000000022</v>
          </cell>
          <cell r="AD104">
            <v>987.36000000000058</v>
          </cell>
          <cell r="AE104">
            <v>522.02000000000044</v>
          </cell>
          <cell r="AF104">
            <v>657.80999999999949</v>
          </cell>
          <cell r="AG104">
            <v>9591.93</v>
          </cell>
        </row>
        <row r="105">
          <cell r="R105" t="str">
            <v>0600/500</v>
          </cell>
          <cell r="S105" t="str">
            <v>Wages - Casual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</row>
        <row r="106">
          <cell r="R106" t="str">
            <v>0600/550</v>
          </cell>
          <cell r="S106" t="str">
            <v>Skills Develop Levy</v>
          </cell>
          <cell r="U106">
            <v>29640.959999999999</v>
          </cell>
          <cell r="V106">
            <v>29375.14</v>
          </cell>
          <cell r="W106">
            <v>23873.439999999995</v>
          </cell>
          <cell r="X106">
            <v>24317.73000000001</v>
          </cell>
          <cell r="Y106">
            <v>27074.14</v>
          </cell>
          <cell r="Z106">
            <v>23768.160000000003</v>
          </cell>
          <cell r="AA106">
            <v>33649.739999999991</v>
          </cell>
          <cell r="AB106">
            <v>26167.399999999994</v>
          </cell>
          <cell r="AC106">
            <v>25539.660000000003</v>
          </cell>
          <cell r="AD106">
            <v>52400.880000000005</v>
          </cell>
          <cell r="AE106">
            <v>20538.309999999998</v>
          </cell>
          <cell r="AF106">
            <v>22923</v>
          </cell>
          <cell r="AG106">
            <v>339268.56</v>
          </cell>
        </row>
        <row r="107">
          <cell r="R107" t="str">
            <v>0600/600</v>
          </cell>
          <cell r="S107" t="str">
            <v>Wages - WCA</v>
          </cell>
          <cell r="U107">
            <v>0</v>
          </cell>
          <cell r="V107">
            <v>291921.12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10498.369999999995</v>
          </cell>
          <cell r="AG107">
            <v>302419.49</v>
          </cell>
        </row>
        <row r="108">
          <cell r="R108" t="str">
            <v>0800/100</v>
          </cell>
          <cell r="S108" t="str">
            <v>Depreciatiion - Tools</v>
          </cell>
          <cell r="U108">
            <v>14645.44</v>
          </cell>
          <cell r="V108">
            <v>16073.65</v>
          </cell>
          <cell r="W108">
            <v>16073.649999999998</v>
          </cell>
          <cell r="X108">
            <v>16073.650000000001</v>
          </cell>
          <cell r="Y108">
            <v>16073.649999999994</v>
          </cell>
          <cell r="Z108">
            <v>19167.740000000005</v>
          </cell>
          <cell r="AA108">
            <v>20219.839999999997</v>
          </cell>
          <cell r="AB108">
            <v>21207.330000000016</v>
          </cell>
          <cell r="AC108">
            <v>21207.329999999987</v>
          </cell>
          <cell r="AD108">
            <v>21040.679999999993</v>
          </cell>
          <cell r="AE108">
            <v>21450.339999999997</v>
          </cell>
          <cell r="AF108">
            <v>20303.570000000007</v>
          </cell>
          <cell r="AG108">
            <v>223536.87</v>
          </cell>
        </row>
        <row r="109">
          <cell r="R109" t="str">
            <v>0800/150</v>
          </cell>
          <cell r="S109" t="str">
            <v>Depreciation -Plant/Equip.</v>
          </cell>
          <cell r="U109">
            <v>46626.84</v>
          </cell>
          <cell r="V109">
            <v>46626.84</v>
          </cell>
          <cell r="W109">
            <v>44468.66</v>
          </cell>
          <cell r="X109">
            <v>44468.66</v>
          </cell>
          <cell r="Y109">
            <v>44872.03</v>
          </cell>
          <cell r="Z109">
            <v>44872.03</v>
          </cell>
          <cell r="AA109">
            <v>44872.030000000028</v>
          </cell>
          <cell r="AB109">
            <v>44872.02999999997</v>
          </cell>
          <cell r="AC109">
            <v>45254.030000000028</v>
          </cell>
          <cell r="AD109">
            <v>44616.949999999953</v>
          </cell>
          <cell r="AE109">
            <v>44616.950000000012</v>
          </cell>
          <cell r="AF109">
            <v>44617.149999999965</v>
          </cell>
          <cell r="AG109">
            <v>540784.19999999995</v>
          </cell>
        </row>
        <row r="110">
          <cell r="R110" t="str">
            <v>0800/200</v>
          </cell>
          <cell r="S110" t="str">
            <v>Depreciation -Solar</v>
          </cell>
          <cell r="U110">
            <v>19379.95</v>
          </cell>
          <cell r="V110">
            <v>19379.95</v>
          </cell>
          <cell r="W110">
            <v>19379.949999999997</v>
          </cell>
          <cell r="X110">
            <v>19379.950000000004</v>
          </cell>
          <cell r="Y110">
            <v>19379.949999999997</v>
          </cell>
          <cell r="Z110">
            <v>19379.949999999997</v>
          </cell>
          <cell r="AA110">
            <v>19379.949999999997</v>
          </cell>
          <cell r="AB110">
            <v>19379.950000000012</v>
          </cell>
          <cell r="AC110">
            <v>19379.949999999983</v>
          </cell>
          <cell r="AD110">
            <v>19379.950000000012</v>
          </cell>
          <cell r="AE110">
            <v>19379.950000000012</v>
          </cell>
          <cell r="AF110">
            <v>19379.949999999983</v>
          </cell>
          <cell r="AG110">
            <v>232559.4</v>
          </cell>
        </row>
        <row r="111">
          <cell r="R111" t="str">
            <v>0900/098</v>
          </cell>
          <cell r="S111" t="str">
            <v>Overhead Recovery - Non Prod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</row>
        <row r="112">
          <cell r="R112" t="str">
            <v>0900/099</v>
          </cell>
          <cell r="S112" t="str">
            <v>Overhead Recovery - Productive</v>
          </cell>
          <cell r="U112">
            <v>-567719.34</v>
          </cell>
          <cell r="V112">
            <v>-580314.02000000014</v>
          </cell>
          <cell r="W112">
            <v>-579523.99</v>
          </cell>
          <cell r="X112">
            <v>-488019.48</v>
          </cell>
          <cell r="Y112">
            <v>-518674.83000000007</v>
          </cell>
          <cell r="Z112">
            <v>-431727</v>
          </cell>
          <cell r="AA112">
            <v>-437256.38999999966</v>
          </cell>
          <cell r="AB112">
            <v>-524336.49000000022</v>
          </cell>
          <cell r="AC112">
            <v>-533034.04</v>
          </cell>
          <cell r="AD112">
            <v>-258803.36000000034</v>
          </cell>
          <cell r="AE112">
            <v>-210075.26999999955</v>
          </cell>
          <cell r="AF112">
            <v>-433344.13999999966</v>
          </cell>
          <cell r="AG112">
            <v>-5562828.3499999996</v>
          </cell>
        </row>
        <row r="113">
          <cell r="R113" t="str">
            <v>1200/100</v>
          </cell>
          <cell r="S113" t="str">
            <v>Bad Debts Recovered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</row>
        <row r="114">
          <cell r="R114" t="str">
            <v>1200/110</v>
          </cell>
          <cell r="S114" t="str">
            <v>Bad Debt - CGIC Payout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</row>
        <row r="115">
          <cell r="R115" t="str">
            <v>1200/150</v>
          </cell>
          <cell r="S115" t="str">
            <v>Commission Received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</row>
        <row r="116">
          <cell r="R116" t="str">
            <v>1200/200</v>
          </cell>
          <cell r="S116" t="str">
            <v>Discount Received</v>
          </cell>
          <cell r="U116">
            <v>-112797.98</v>
          </cell>
          <cell r="V116">
            <v>-172120.41000000003</v>
          </cell>
          <cell r="W116">
            <v>-126291.37</v>
          </cell>
          <cell r="X116">
            <v>-164886.68999999994</v>
          </cell>
          <cell r="Y116">
            <v>-144131.6100000001</v>
          </cell>
          <cell r="Z116">
            <v>-186196.72999999998</v>
          </cell>
          <cell r="AA116">
            <v>-157303.52000000002</v>
          </cell>
          <cell r="AB116">
            <v>-139923.16999999993</v>
          </cell>
          <cell r="AC116">
            <v>-162342.49</v>
          </cell>
          <cell r="AD116">
            <v>-192894.87000000011</v>
          </cell>
          <cell r="AE116">
            <v>-49470.539999999804</v>
          </cell>
          <cell r="AF116">
            <v>-93852.190000000177</v>
          </cell>
          <cell r="AG116">
            <v>-1702211.57</v>
          </cell>
        </row>
        <row r="117">
          <cell r="R117" t="str">
            <v>1200/250</v>
          </cell>
          <cell r="S117" t="str">
            <v>Sundry Income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</row>
        <row r="118">
          <cell r="R118" t="str">
            <v>1200/255</v>
          </cell>
          <cell r="S118" t="str">
            <v>Sundry Income - Electrical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R119" t="str">
            <v>1200/260</v>
          </cell>
          <cell r="S119" t="str">
            <v>Sundry Income - Rental</v>
          </cell>
          <cell r="U119">
            <v>-19783.38</v>
          </cell>
          <cell r="V119">
            <v>-20463.780000000002</v>
          </cell>
          <cell r="W119">
            <v>-18255.549999999996</v>
          </cell>
          <cell r="X119">
            <v>-19052.870000000003</v>
          </cell>
          <cell r="Y119">
            <v>-20210.099999999991</v>
          </cell>
          <cell r="Z119">
            <v>-20710.300000000003</v>
          </cell>
          <cell r="AA119">
            <v>0</v>
          </cell>
          <cell r="AB119">
            <v>-41590.750000000015</v>
          </cell>
          <cell r="AC119">
            <v>-20778.589999999997</v>
          </cell>
          <cell r="AD119">
            <v>-18748.75999999998</v>
          </cell>
          <cell r="AE119">
            <v>-19211.930000000022</v>
          </cell>
          <cell r="AF119">
            <v>-19465.449999999983</v>
          </cell>
          <cell r="AG119">
            <v>-238271.46</v>
          </cell>
        </row>
        <row r="120">
          <cell r="R120" t="str">
            <v>1200/300</v>
          </cell>
          <cell r="S120" t="str">
            <v>Sundry Income SDL</v>
          </cell>
          <cell r="U120">
            <v>0</v>
          </cell>
          <cell r="V120">
            <v>-36317.58</v>
          </cell>
          <cell r="W120">
            <v>0</v>
          </cell>
          <cell r="X120">
            <v>-4848.8899999999994</v>
          </cell>
          <cell r="Y120">
            <v>-5928.1900000000023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-42753.09</v>
          </cell>
          <cell r="AG120">
            <v>-89847.75</v>
          </cell>
        </row>
        <row r="121">
          <cell r="R121" t="str">
            <v>1200/310</v>
          </cell>
          <cell r="S121" t="str">
            <v>ETI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2">
          <cell r="R122" t="str">
            <v>1200/350</v>
          </cell>
          <cell r="S122" t="str">
            <v>Sale/Scrap of Asset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-10845.69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-10845.69</v>
          </cell>
        </row>
        <row r="123">
          <cell r="R123" t="str">
            <v>1200/360</v>
          </cell>
          <cell r="S123" t="str">
            <v>Impairment of Assets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</row>
        <row r="124">
          <cell r="R124" t="str">
            <v>1200/370</v>
          </cell>
          <cell r="S124" t="str">
            <v>Sales of Assets - Capital Gain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</row>
        <row r="125">
          <cell r="R125" t="str">
            <v>1200/400</v>
          </cell>
          <cell r="S125" t="str">
            <v>DTI Incentive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</row>
        <row r="126">
          <cell r="R126" t="str">
            <v>1200/410</v>
          </cell>
          <cell r="S126" t="str">
            <v>Ters Income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R127" t="str">
            <v>1200/420</v>
          </cell>
          <cell r="S127" t="str">
            <v>Ters Income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R128" t="str">
            <v>1500/100</v>
          </cell>
          <cell r="S128" t="str">
            <v>Delivery Costs - CTN</v>
          </cell>
          <cell r="U128">
            <v>66494.64</v>
          </cell>
          <cell r="V128">
            <v>52837.78</v>
          </cell>
          <cell r="W128">
            <v>90899.199999999997</v>
          </cell>
          <cell r="X128">
            <v>85030.450000000012</v>
          </cell>
          <cell r="Y128">
            <v>85040.07</v>
          </cell>
          <cell r="Z128">
            <v>80732.149999999965</v>
          </cell>
          <cell r="AA128">
            <v>72992.950000000012</v>
          </cell>
          <cell r="AB128">
            <v>72060.570000000065</v>
          </cell>
          <cell r="AC128">
            <v>89805.199999999953</v>
          </cell>
          <cell r="AD128">
            <v>28904.959999999963</v>
          </cell>
          <cell r="AE128">
            <v>38408.420000000042</v>
          </cell>
          <cell r="AF128">
            <v>71734.079999999958</v>
          </cell>
          <cell r="AG128">
            <v>834940.47</v>
          </cell>
        </row>
        <row r="129">
          <cell r="R129" t="str">
            <v>1500/110</v>
          </cell>
          <cell r="S129" t="str">
            <v>Delivery Costs - PTA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939.08</v>
          </cell>
          <cell r="AA129">
            <v>886.43</v>
          </cell>
          <cell r="AB129">
            <v>0</v>
          </cell>
          <cell r="AC129">
            <v>913.04000000000019</v>
          </cell>
          <cell r="AD129">
            <v>282.29999999999973</v>
          </cell>
          <cell r="AE129">
            <v>0</v>
          </cell>
          <cell r="AF129">
            <v>909.27</v>
          </cell>
          <cell r="AG129">
            <v>3930.12</v>
          </cell>
        </row>
        <row r="130">
          <cell r="R130" t="str">
            <v>1500/150</v>
          </cell>
          <cell r="S130" t="str">
            <v>Delivery Costs - EXP</v>
          </cell>
          <cell r="U130">
            <v>-102167.5</v>
          </cell>
          <cell r="V130">
            <v>-47260.209999999992</v>
          </cell>
          <cell r="W130">
            <v>-98227.040000000008</v>
          </cell>
          <cell r="X130">
            <v>26365.279999999999</v>
          </cell>
          <cell r="Y130">
            <v>-140418.67000000001</v>
          </cell>
          <cell r="Z130">
            <v>-96809.01999999996</v>
          </cell>
          <cell r="AA130">
            <v>-3506.8400000000256</v>
          </cell>
          <cell r="AB130">
            <v>-34588.090000000026</v>
          </cell>
          <cell r="AC130">
            <v>-50816.47000000003</v>
          </cell>
          <cell r="AD130">
            <v>-99688.839999999967</v>
          </cell>
          <cell r="AE130">
            <v>-30069.979999999981</v>
          </cell>
          <cell r="AF130">
            <v>-85824.959999999963</v>
          </cell>
          <cell r="AG130">
            <v>-763012.34</v>
          </cell>
        </row>
        <row r="131">
          <cell r="R131" t="str">
            <v>1500/160</v>
          </cell>
          <cell r="S131" t="str">
            <v>Delivery - Imports</v>
          </cell>
          <cell r="U131">
            <v>0</v>
          </cell>
          <cell r="V131">
            <v>6509.3</v>
          </cell>
          <cell r="W131">
            <v>24908.83</v>
          </cell>
          <cell r="X131">
            <v>127848.07999999999</v>
          </cell>
          <cell r="Y131">
            <v>18533.580000000016</v>
          </cell>
          <cell r="Z131">
            <v>0</v>
          </cell>
          <cell r="AA131">
            <v>33390.239999999991</v>
          </cell>
          <cell r="AB131">
            <v>803.23000000001048</v>
          </cell>
          <cell r="AC131">
            <v>125632.56</v>
          </cell>
          <cell r="AD131">
            <v>4608.8300000000163</v>
          </cell>
          <cell r="AE131">
            <v>0</v>
          </cell>
          <cell r="AF131">
            <v>92275.589999999967</v>
          </cell>
          <cell r="AG131">
            <v>434510.24</v>
          </cell>
        </row>
        <row r="132">
          <cell r="R132" t="str">
            <v>1500/170</v>
          </cell>
          <cell r="S132" t="str">
            <v>Delivery - Local Suppliers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R133" t="str">
            <v>1500/180</v>
          </cell>
          <cell r="S133" t="str">
            <v>Factory Relocation Costs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R134" t="str">
            <v>1510/100</v>
          </cell>
          <cell r="S134" t="str">
            <v>Delivery Veh - Fuel (CTN)</v>
          </cell>
          <cell r="U134">
            <v>18379.95</v>
          </cell>
          <cell r="V134">
            <v>15098.8</v>
          </cell>
          <cell r="W134">
            <v>13379.11</v>
          </cell>
          <cell r="X134">
            <v>15358.400000000001</v>
          </cell>
          <cell r="Y134">
            <v>17010.950000000004</v>
          </cell>
          <cell r="Z134">
            <v>15668.399999999994</v>
          </cell>
          <cell r="AA134">
            <v>14978.149999999994</v>
          </cell>
          <cell r="AB134">
            <v>17972.950000000012</v>
          </cell>
          <cell r="AC134">
            <v>10082.849999999991</v>
          </cell>
          <cell r="AD134">
            <v>8821.8500000000058</v>
          </cell>
          <cell r="AE134">
            <v>7664.8999999999942</v>
          </cell>
          <cell r="AF134">
            <v>10975</v>
          </cell>
          <cell r="AG134">
            <v>165391.31</v>
          </cell>
        </row>
        <row r="135">
          <cell r="R135" t="str">
            <v>1510/110</v>
          </cell>
          <cell r="S135" t="str">
            <v>Delivery Veh - Fuel (PTA)</v>
          </cell>
          <cell r="U135">
            <v>10724.07</v>
          </cell>
          <cell r="V135">
            <v>8956.5299999999988</v>
          </cell>
          <cell r="W135">
            <v>9563.68</v>
          </cell>
          <cell r="X135">
            <v>11062.090000000004</v>
          </cell>
          <cell r="Y135">
            <v>13481.259999999995</v>
          </cell>
          <cell r="Z135">
            <v>10706.880000000005</v>
          </cell>
          <cell r="AA135">
            <v>13469.980000000003</v>
          </cell>
          <cell r="AB135">
            <v>12394.429999999993</v>
          </cell>
          <cell r="AC135">
            <v>12037.839999999997</v>
          </cell>
          <cell r="AD135">
            <v>3769.3000000000029</v>
          </cell>
          <cell r="AE135">
            <v>8357.0500000000029</v>
          </cell>
          <cell r="AF135">
            <v>10423.600000000006</v>
          </cell>
          <cell r="AG135">
            <v>124946.71</v>
          </cell>
        </row>
        <row r="136">
          <cell r="R136" t="str">
            <v>1510/120</v>
          </cell>
          <cell r="S136" t="str">
            <v>Fuel - Generator</v>
          </cell>
          <cell r="U136">
            <v>1100.24</v>
          </cell>
          <cell r="V136">
            <v>2145.33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8241.6</v>
          </cell>
          <cell r="AC136">
            <v>629.10000000000036</v>
          </cell>
          <cell r="AD136">
            <v>1167.8099999999995</v>
          </cell>
          <cell r="AE136">
            <v>0</v>
          </cell>
          <cell r="AF136">
            <v>4291.5000000000018</v>
          </cell>
          <cell r="AG136">
            <v>17575.580000000002</v>
          </cell>
        </row>
        <row r="137">
          <cell r="R137" t="str">
            <v>1520/100</v>
          </cell>
          <cell r="S137" t="str">
            <v>Delivery Veh - Repairs(CTN)</v>
          </cell>
          <cell r="U137">
            <v>0</v>
          </cell>
          <cell r="V137">
            <v>8725.0400000000009</v>
          </cell>
          <cell r="W137">
            <v>13170.21</v>
          </cell>
          <cell r="X137">
            <v>170</v>
          </cell>
          <cell r="Y137">
            <v>3350</v>
          </cell>
          <cell r="Z137">
            <v>250</v>
          </cell>
          <cell r="AA137">
            <v>510</v>
          </cell>
          <cell r="AB137">
            <v>396.52000000000044</v>
          </cell>
          <cell r="AC137">
            <v>27106.929999999997</v>
          </cell>
          <cell r="AD137">
            <v>200</v>
          </cell>
          <cell r="AE137">
            <v>1405</v>
          </cell>
          <cell r="AF137">
            <v>250</v>
          </cell>
          <cell r="AG137">
            <v>55533.7</v>
          </cell>
        </row>
        <row r="138">
          <cell r="R138" t="str">
            <v>1520/110</v>
          </cell>
          <cell r="S138" t="str">
            <v>Delivery Veh - Repairs(PTA)</v>
          </cell>
          <cell r="U138">
            <v>11354.43</v>
          </cell>
          <cell r="V138">
            <v>4434.9499999999989</v>
          </cell>
          <cell r="W138">
            <v>0</v>
          </cell>
          <cell r="X138">
            <v>12598.000000000002</v>
          </cell>
          <cell r="Y138">
            <v>27596.179999999997</v>
          </cell>
          <cell r="Z138">
            <v>8377.2799999999988</v>
          </cell>
          <cell r="AA138">
            <v>4034.7799999999988</v>
          </cell>
          <cell r="AB138">
            <v>7119.1399999999994</v>
          </cell>
          <cell r="AC138">
            <v>5205.5500000000029</v>
          </cell>
          <cell r="AD138">
            <v>8898.5299999999988</v>
          </cell>
          <cell r="AE138">
            <v>14066.880000000005</v>
          </cell>
          <cell r="AF138">
            <v>4190.4799999999959</v>
          </cell>
          <cell r="AG138">
            <v>107876.2</v>
          </cell>
        </row>
        <row r="139">
          <cell r="R139" t="str">
            <v>1530/100</v>
          </cell>
          <cell r="S139" t="str">
            <v>Vehicles - Parking</v>
          </cell>
          <cell r="U139">
            <v>543.30999999999995</v>
          </cell>
          <cell r="V139">
            <v>347.83000000000004</v>
          </cell>
          <cell r="W139">
            <v>8.7000000000000455</v>
          </cell>
          <cell r="X139">
            <v>1666.31</v>
          </cell>
          <cell r="Y139">
            <v>477.81999999999971</v>
          </cell>
          <cell r="Z139">
            <v>350.44000000000005</v>
          </cell>
          <cell r="AA139">
            <v>766.75</v>
          </cell>
          <cell r="AB139">
            <v>371.53999999999996</v>
          </cell>
          <cell r="AC139">
            <v>396.52999999999975</v>
          </cell>
          <cell r="AD139">
            <v>59.130000000000109</v>
          </cell>
          <cell r="AE139">
            <v>36.700000000000728</v>
          </cell>
          <cell r="AF139">
            <v>612.27999999999975</v>
          </cell>
          <cell r="AG139">
            <v>5637.34</v>
          </cell>
        </row>
        <row r="140">
          <cell r="R140" t="str">
            <v>1530/110</v>
          </cell>
          <cell r="S140" t="str">
            <v>Vehicles - Toll Fees</v>
          </cell>
          <cell r="U140">
            <v>0</v>
          </cell>
          <cell r="V140">
            <v>3000</v>
          </cell>
          <cell r="W140">
            <v>0</v>
          </cell>
          <cell r="X140">
            <v>598.26000000000022</v>
          </cell>
          <cell r="Y140">
            <v>113.03999999999996</v>
          </cell>
          <cell r="Z140">
            <v>0</v>
          </cell>
          <cell r="AA140">
            <v>0</v>
          </cell>
          <cell r="AB140">
            <v>391.73999999999978</v>
          </cell>
          <cell r="AC140">
            <v>3429.13</v>
          </cell>
          <cell r="AD140">
            <v>70.430000000000291</v>
          </cell>
          <cell r="AE140">
            <v>0</v>
          </cell>
          <cell r="AF140">
            <v>3000</v>
          </cell>
          <cell r="AG140">
            <v>10602.6</v>
          </cell>
        </row>
        <row r="141">
          <cell r="R141" t="str">
            <v>1550/100</v>
          </cell>
          <cell r="S141" t="str">
            <v>Rent Premises - Pretoria</v>
          </cell>
          <cell r="U141">
            <v>64307.26</v>
          </cell>
          <cell r="V141">
            <v>64307.26</v>
          </cell>
          <cell r="W141">
            <v>64307.259999999995</v>
          </cell>
          <cell r="X141">
            <v>70738.000000000029</v>
          </cell>
          <cell r="Y141">
            <v>70738</v>
          </cell>
          <cell r="Z141">
            <v>70738</v>
          </cell>
          <cell r="AA141">
            <v>70738</v>
          </cell>
          <cell r="AB141">
            <v>70738</v>
          </cell>
          <cell r="AC141">
            <v>70738</v>
          </cell>
          <cell r="AD141">
            <v>70738</v>
          </cell>
          <cell r="AE141">
            <v>70738</v>
          </cell>
          <cell r="AF141">
            <v>70738</v>
          </cell>
          <cell r="AG141">
            <v>829563.78</v>
          </cell>
        </row>
        <row r="142">
          <cell r="R142" t="str">
            <v>1550/150</v>
          </cell>
          <cell r="S142" t="str">
            <v>Rent Premises - Cape Town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</row>
        <row r="143">
          <cell r="R143" t="str">
            <v>1550/160</v>
          </cell>
          <cell r="S143" t="str">
            <v>Rent Premises - Babaza Park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</row>
        <row r="144">
          <cell r="R144" t="str">
            <v>2000/100</v>
          </cell>
          <cell r="S144" t="str">
            <v>Bank Charges</v>
          </cell>
          <cell r="U144">
            <v>18289.39</v>
          </cell>
          <cell r="V144">
            <v>18966.699999999997</v>
          </cell>
          <cell r="W144">
            <v>20818.980000000003</v>
          </cell>
          <cell r="X144">
            <v>21539.659999999996</v>
          </cell>
          <cell r="Y144">
            <v>17895.430000000008</v>
          </cell>
          <cell r="Z144">
            <v>16678.830000000002</v>
          </cell>
          <cell r="AA144">
            <v>15034.470000000001</v>
          </cell>
          <cell r="AB144">
            <v>18473.619999999981</v>
          </cell>
          <cell r="AC144">
            <v>23932.620000000024</v>
          </cell>
          <cell r="AD144">
            <v>17080.53</v>
          </cell>
          <cell r="AE144">
            <v>11613.179999999993</v>
          </cell>
          <cell r="AF144">
            <v>14282.549999999988</v>
          </cell>
          <cell r="AG144">
            <v>214605.96</v>
          </cell>
        </row>
        <row r="145">
          <cell r="R145" t="str">
            <v>2050/100</v>
          </cell>
          <cell r="S145" t="str">
            <v>Computer - Annual Licences</v>
          </cell>
          <cell r="U145">
            <v>134173.97</v>
          </cell>
          <cell r="V145">
            <v>1760.3999999999942</v>
          </cell>
          <cell r="W145">
            <v>0</v>
          </cell>
          <cell r="X145">
            <v>1071</v>
          </cell>
          <cell r="Y145">
            <v>242.61000000001513</v>
          </cell>
          <cell r="Z145">
            <v>14740.359999999986</v>
          </cell>
          <cell r="AA145">
            <v>0</v>
          </cell>
          <cell r="AB145">
            <v>147764.53</v>
          </cell>
          <cell r="AC145">
            <v>10082.140000000014</v>
          </cell>
          <cell r="AD145">
            <v>0</v>
          </cell>
          <cell r="AE145">
            <v>0</v>
          </cell>
          <cell r="AF145">
            <v>91.299999999988358</v>
          </cell>
          <cell r="AG145">
            <v>309926.31</v>
          </cell>
        </row>
        <row r="146">
          <cell r="R146" t="str">
            <v>2050/150</v>
          </cell>
          <cell r="S146" t="str">
            <v>Computer - Expense</v>
          </cell>
          <cell r="U146">
            <v>3296.14</v>
          </cell>
          <cell r="V146">
            <v>10842.42</v>
          </cell>
          <cell r="W146">
            <v>16587.870000000003</v>
          </cell>
          <cell r="X146">
            <v>14164.96</v>
          </cell>
          <cell r="Y146">
            <v>1822.2799999999988</v>
          </cell>
          <cell r="Z146">
            <v>18400.450000000004</v>
          </cell>
          <cell r="AA146">
            <v>9806.5900000000038</v>
          </cell>
          <cell r="AB146">
            <v>6640.5999999999913</v>
          </cell>
          <cell r="AC146">
            <v>1946.6000000000058</v>
          </cell>
          <cell r="AD146">
            <v>5862.8300000000017</v>
          </cell>
          <cell r="AE146">
            <v>438.25999999999476</v>
          </cell>
          <cell r="AF146">
            <v>8363.6900000000023</v>
          </cell>
          <cell r="AG146">
            <v>98172.69</v>
          </cell>
        </row>
        <row r="147">
          <cell r="R147" t="str">
            <v>2050/160</v>
          </cell>
          <cell r="S147" t="str">
            <v>Computer - Network/Internet costs</v>
          </cell>
          <cell r="U147">
            <v>8300</v>
          </cell>
          <cell r="V147">
            <v>8684</v>
          </cell>
          <cell r="W147">
            <v>8684</v>
          </cell>
          <cell r="X147">
            <v>8684</v>
          </cell>
          <cell r="Y147">
            <v>8684</v>
          </cell>
          <cell r="Z147">
            <v>8684</v>
          </cell>
          <cell r="AA147">
            <v>8684</v>
          </cell>
          <cell r="AB147">
            <v>8684</v>
          </cell>
          <cell r="AC147">
            <v>8684</v>
          </cell>
          <cell r="AD147">
            <v>8684</v>
          </cell>
          <cell r="AE147">
            <v>8684</v>
          </cell>
          <cell r="AF147">
            <v>8684</v>
          </cell>
          <cell r="AG147">
            <v>103824</v>
          </cell>
        </row>
        <row r="148">
          <cell r="R148" t="str">
            <v>2050/200</v>
          </cell>
          <cell r="S148" t="str">
            <v>Computer - Repairs&amp;Maint CTN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1900</v>
          </cell>
          <cell r="AE148">
            <v>0</v>
          </cell>
          <cell r="AF148">
            <v>0</v>
          </cell>
          <cell r="AG148">
            <v>1900</v>
          </cell>
        </row>
        <row r="149">
          <cell r="R149" t="str">
            <v>2050/250</v>
          </cell>
          <cell r="S149" t="str">
            <v>Computer - Repairs&amp;Maint PTA</v>
          </cell>
          <cell r="U149">
            <v>739.13</v>
          </cell>
          <cell r="V149">
            <v>0</v>
          </cell>
          <cell r="W149">
            <v>0</v>
          </cell>
          <cell r="X149">
            <v>1763.48</v>
          </cell>
          <cell r="Y149">
            <v>0</v>
          </cell>
          <cell r="Z149">
            <v>0</v>
          </cell>
          <cell r="AA149">
            <v>1912.1799999999998</v>
          </cell>
          <cell r="AB149">
            <v>1042.6099999999997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5457.4</v>
          </cell>
        </row>
        <row r="150">
          <cell r="R150" t="str">
            <v>2100/100</v>
          </cell>
          <cell r="S150" t="str">
            <v>Donations</v>
          </cell>
          <cell r="U150">
            <v>1350</v>
          </cell>
          <cell r="V150">
            <v>350</v>
          </cell>
          <cell r="W150">
            <v>350</v>
          </cell>
          <cell r="X150">
            <v>350</v>
          </cell>
          <cell r="Y150">
            <v>350</v>
          </cell>
          <cell r="Z150">
            <v>1740</v>
          </cell>
          <cell r="AA150">
            <v>350</v>
          </cell>
          <cell r="AB150">
            <v>350</v>
          </cell>
          <cell r="AC150">
            <v>350</v>
          </cell>
          <cell r="AD150">
            <v>350</v>
          </cell>
          <cell r="AE150">
            <v>350</v>
          </cell>
          <cell r="AF150">
            <v>1740</v>
          </cell>
          <cell r="AG150">
            <v>7980</v>
          </cell>
        </row>
        <row r="151">
          <cell r="R151" t="str">
            <v>2150/100</v>
          </cell>
          <cell r="S151" t="str">
            <v>Fees - Accounting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</row>
        <row r="152">
          <cell r="R152" t="str">
            <v>2150/150</v>
          </cell>
          <cell r="S152" t="str">
            <v>Fees - Audit (Current Year)</v>
          </cell>
          <cell r="U152">
            <v>12096</v>
          </cell>
          <cell r="V152">
            <v>12096</v>
          </cell>
          <cell r="W152">
            <v>12096</v>
          </cell>
          <cell r="X152">
            <v>12568</v>
          </cell>
          <cell r="Y152">
            <v>12568</v>
          </cell>
          <cell r="Z152">
            <v>12568</v>
          </cell>
          <cell r="AA152">
            <v>12568</v>
          </cell>
          <cell r="AB152">
            <v>12568</v>
          </cell>
          <cell r="AC152">
            <v>12568</v>
          </cell>
          <cell r="AD152">
            <v>12568</v>
          </cell>
          <cell r="AE152">
            <v>12568</v>
          </cell>
          <cell r="AF152">
            <v>12568</v>
          </cell>
          <cell r="AG152">
            <v>149400</v>
          </cell>
        </row>
        <row r="153">
          <cell r="R153" t="str">
            <v>2150/200</v>
          </cell>
          <cell r="S153" t="str">
            <v>Fees - Audit (Prev Year)</v>
          </cell>
          <cell r="U153">
            <v>0</v>
          </cell>
          <cell r="V153">
            <v>0</v>
          </cell>
          <cell r="W153">
            <v>0</v>
          </cell>
          <cell r="X153">
            <v>5235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5235</v>
          </cell>
        </row>
        <row r="154">
          <cell r="R154" t="str">
            <v>2150/250</v>
          </cell>
          <cell r="S154" t="str">
            <v>Fees - Consultancy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</row>
        <row r="155">
          <cell r="R155" t="str">
            <v>2150/300</v>
          </cell>
          <cell r="S155" t="str">
            <v>Fees - Legal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</row>
        <row r="156">
          <cell r="R156" t="str">
            <v>2150/350</v>
          </cell>
          <cell r="S156" t="str">
            <v>Fees - Professional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1817.39</v>
          </cell>
          <cell r="Z156">
            <v>1817.39</v>
          </cell>
          <cell r="AA156">
            <v>58245.120000000003</v>
          </cell>
          <cell r="AB156">
            <v>1131.5599999999977</v>
          </cell>
          <cell r="AC156">
            <v>0</v>
          </cell>
          <cell r="AD156">
            <v>1817.3899999999994</v>
          </cell>
          <cell r="AE156">
            <v>1627.8299999999945</v>
          </cell>
          <cell r="AF156">
            <v>0</v>
          </cell>
          <cell r="AG156">
            <v>66456.679999999993</v>
          </cell>
        </row>
        <row r="157">
          <cell r="R157" t="str">
            <v>2150/400</v>
          </cell>
          <cell r="S157" t="str">
            <v>Fees - Secretarial</v>
          </cell>
          <cell r="U157">
            <v>1050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3950</v>
          </cell>
          <cell r="AA157">
            <v>0</v>
          </cell>
          <cell r="AB157">
            <v>850</v>
          </cell>
          <cell r="AC157">
            <v>0</v>
          </cell>
          <cell r="AD157">
            <v>0</v>
          </cell>
          <cell r="AE157">
            <v>0</v>
          </cell>
          <cell r="AF157">
            <v>1125</v>
          </cell>
          <cell r="AG157">
            <v>6975</v>
          </cell>
        </row>
        <row r="158">
          <cell r="R158" t="str">
            <v>2150/450</v>
          </cell>
          <cell r="S158" t="str">
            <v>Fees - Directors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</row>
        <row r="159">
          <cell r="R159" t="str">
            <v>2200/100</v>
          </cell>
          <cell r="S159" t="str">
            <v>Fines &amp; Penalties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</row>
        <row r="160">
          <cell r="R160" t="str">
            <v>2250/100</v>
          </cell>
          <cell r="S160" t="str">
            <v>Forex Differences</v>
          </cell>
          <cell r="U160">
            <v>-41197.83</v>
          </cell>
          <cell r="V160">
            <v>-134544.53999999998</v>
          </cell>
          <cell r="W160">
            <v>-5822.0599999999977</v>
          </cell>
          <cell r="X160">
            <v>115577</v>
          </cell>
          <cell r="Y160">
            <v>65409.939999999995</v>
          </cell>
          <cell r="Z160">
            <v>11367.43</v>
          </cell>
          <cell r="AA160">
            <v>52616.479999999996</v>
          </cell>
          <cell r="AB160">
            <v>94302.96</v>
          </cell>
          <cell r="AC160">
            <v>0</v>
          </cell>
          <cell r="AD160">
            <v>0</v>
          </cell>
          <cell r="AE160">
            <v>596676.54</v>
          </cell>
          <cell r="AF160">
            <v>38911.939999999944</v>
          </cell>
          <cell r="AG160">
            <v>793297.86</v>
          </cell>
        </row>
        <row r="161">
          <cell r="R161" t="str">
            <v>2300/100</v>
          </cell>
          <cell r="S161" t="str">
            <v>Insurance - CGIC</v>
          </cell>
          <cell r="U161">
            <v>71819.5</v>
          </cell>
          <cell r="V161">
            <v>71819.5</v>
          </cell>
          <cell r="W161">
            <v>71819.5</v>
          </cell>
          <cell r="X161">
            <v>71819.5</v>
          </cell>
          <cell r="Y161">
            <v>79658</v>
          </cell>
          <cell r="Z161">
            <v>79658</v>
          </cell>
          <cell r="AA161">
            <v>79658</v>
          </cell>
          <cell r="AB161">
            <v>79658</v>
          </cell>
          <cell r="AC161">
            <v>79696.5</v>
          </cell>
          <cell r="AD161">
            <v>85006.5</v>
          </cell>
          <cell r="AE161">
            <v>20909.229999999981</v>
          </cell>
          <cell r="AF161">
            <v>84896.5</v>
          </cell>
          <cell r="AG161">
            <v>876418.73</v>
          </cell>
        </row>
        <row r="162">
          <cell r="R162" t="str">
            <v>2300/150</v>
          </cell>
          <cell r="S162" t="str">
            <v>Insurance - General</v>
          </cell>
          <cell r="U162">
            <v>29771.1</v>
          </cell>
          <cell r="V162">
            <v>29771.1</v>
          </cell>
          <cell r="W162">
            <v>30136.010000000009</v>
          </cell>
          <cell r="X162">
            <v>29963.159999999989</v>
          </cell>
          <cell r="Y162">
            <v>32211.98000000001</v>
          </cell>
          <cell r="Z162">
            <v>32211.979999999981</v>
          </cell>
          <cell r="AA162">
            <v>32211.98000000001</v>
          </cell>
          <cell r="AB162">
            <v>32211.98000000001</v>
          </cell>
          <cell r="AC162">
            <v>32211.98000000001</v>
          </cell>
          <cell r="AD162">
            <v>38905.919999999984</v>
          </cell>
          <cell r="AE162">
            <v>36486.609999999986</v>
          </cell>
          <cell r="AF162">
            <v>36486.609999999986</v>
          </cell>
          <cell r="AG162">
            <v>392580.41</v>
          </cell>
        </row>
        <row r="163">
          <cell r="R163" t="str">
            <v>2300/160</v>
          </cell>
          <cell r="S163" t="str">
            <v>Insurance - Keyman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</row>
        <row r="164">
          <cell r="R164" t="str">
            <v>2300/200</v>
          </cell>
          <cell r="S164" t="str">
            <v>Insurance - Marine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73937.88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73937.88</v>
          </cell>
        </row>
        <row r="165">
          <cell r="R165" t="str">
            <v>2300/300</v>
          </cell>
          <cell r="S165" t="str">
            <v>Insurance - Payout</v>
          </cell>
          <cell r="U165">
            <v>0</v>
          </cell>
          <cell r="V165">
            <v>-7180.43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-7180.43</v>
          </cell>
        </row>
        <row r="166">
          <cell r="R166" t="str">
            <v>2320/100</v>
          </cell>
          <cell r="S166" t="str">
            <v>Hiring Administration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</row>
        <row r="167">
          <cell r="R167" t="str">
            <v>2320/200</v>
          </cell>
          <cell r="S167" t="str">
            <v>Hiring - Vehicles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R168" t="str">
            <v>2350/100</v>
          </cell>
          <cell r="S168" t="str">
            <v>Motor Veh - Fuel (CTN)</v>
          </cell>
          <cell r="U168">
            <v>4559.3500000000004</v>
          </cell>
          <cell r="V168">
            <v>4956.2999999999993</v>
          </cell>
          <cell r="W168">
            <v>4683.7000000000007</v>
          </cell>
          <cell r="X168">
            <v>4348.4999999999982</v>
          </cell>
          <cell r="Y168">
            <v>4957.9500000000007</v>
          </cell>
          <cell r="Z168">
            <v>4812.3600000000006</v>
          </cell>
          <cell r="AA168">
            <v>5362.5499999999993</v>
          </cell>
          <cell r="AB168">
            <v>6287.75</v>
          </cell>
          <cell r="AC168">
            <v>4913.1500000000015</v>
          </cell>
          <cell r="AD168">
            <v>7823.9499999999971</v>
          </cell>
          <cell r="AE168">
            <v>7141.9800000000032</v>
          </cell>
          <cell r="AF168">
            <v>6631.4500000000044</v>
          </cell>
          <cell r="AG168">
            <v>66478.990000000005</v>
          </cell>
        </row>
        <row r="169">
          <cell r="R169" t="str">
            <v>2350/130</v>
          </cell>
          <cell r="S169" t="str">
            <v>Motor Veh - Recovery</v>
          </cell>
          <cell r="U169">
            <v>-3409.75</v>
          </cell>
          <cell r="V169">
            <v>-6400.2999999999993</v>
          </cell>
          <cell r="W169">
            <v>-4593.2000000000007</v>
          </cell>
          <cell r="X169">
            <v>-4437.5999999999985</v>
          </cell>
          <cell r="Y169">
            <v>-4977.25</v>
          </cell>
          <cell r="Z169">
            <v>-4559.66</v>
          </cell>
          <cell r="AA169">
            <v>-4321.8000000000029</v>
          </cell>
          <cell r="AB169">
            <v>-4549.6499999999978</v>
          </cell>
          <cell r="AC169">
            <v>-4115.3499999999985</v>
          </cell>
          <cell r="AD169">
            <v>-5113.4500000000044</v>
          </cell>
          <cell r="AE169">
            <v>-3374.3799999999974</v>
          </cell>
          <cell r="AF169">
            <v>-5326.8000000000029</v>
          </cell>
          <cell r="AG169">
            <v>-55179.19</v>
          </cell>
        </row>
        <row r="170">
          <cell r="R170" t="str">
            <v>2350/150</v>
          </cell>
          <cell r="S170" t="str">
            <v>Motor Veh - Fuel (PTA)</v>
          </cell>
          <cell r="U170">
            <v>-423.2</v>
          </cell>
          <cell r="V170">
            <v>2.6299999999999955</v>
          </cell>
          <cell r="W170">
            <v>-98.45999999999998</v>
          </cell>
          <cell r="X170">
            <v>902.39</v>
          </cell>
          <cell r="Y170">
            <v>217.55999999999995</v>
          </cell>
          <cell r="Z170">
            <v>-1643.46</v>
          </cell>
          <cell r="AA170">
            <v>1419.2</v>
          </cell>
          <cell r="AB170">
            <v>-1270.05</v>
          </cell>
          <cell r="AC170">
            <v>-2771.55</v>
          </cell>
          <cell r="AD170">
            <v>-5496.6999999999989</v>
          </cell>
          <cell r="AE170">
            <v>1611.2499999999991</v>
          </cell>
          <cell r="AF170">
            <v>-2088.3000000000002</v>
          </cell>
          <cell r="AG170">
            <v>-9638.69</v>
          </cell>
        </row>
        <row r="171">
          <cell r="R171" t="str">
            <v>2350/200</v>
          </cell>
          <cell r="S171" t="str">
            <v>Motor Veh - Repairs(CTN)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</row>
        <row r="172">
          <cell r="R172" t="str">
            <v>2350/250</v>
          </cell>
          <cell r="S172" t="str">
            <v>Motor Veh - Repairs(PTA)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</row>
        <row r="173">
          <cell r="R173" t="str">
            <v>2350/300</v>
          </cell>
          <cell r="S173" t="str">
            <v>Motor Veh - Licences</v>
          </cell>
          <cell r="U173">
            <v>0</v>
          </cell>
          <cell r="V173">
            <v>0</v>
          </cell>
          <cell r="W173">
            <v>0</v>
          </cell>
          <cell r="X173">
            <v>564</v>
          </cell>
          <cell r="Y173">
            <v>0</v>
          </cell>
          <cell r="Z173">
            <v>550</v>
          </cell>
          <cell r="AA173">
            <v>3082</v>
          </cell>
          <cell r="AB173">
            <v>924</v>
          </cell>
          <cell r="AC173">
            <v>0</v>
          </cell>
          <cell r="AD173">
            <v>0</v>
          </cell>
          <cell r="AE173">
            <v>901.73999999999978</v>
          </cell>
          <cell r="AF173">
            <v>1800</v>
          </cell>
          <cell r="AG173">
            <v>7821.74</v>
          </cell>
        </row>
        <row r="174">
          <cell r="R174" t="str">
            <v>2350/310</v>
          </cell>
          <cell r="S174" t="str">
            <v>Motor Veh - Fines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</row>
        <row r="175">
          <cell r="R175" t="str">
            <v>2350/400</v>
          </cell>
          <cell r="S175" t="str">
            <v>MV Tracking</v>
          </cell>
          <cell r="U175">
            <v>504.33</v>
          </cell>
          <cell r="V175">
            <v>504.33</v>
          </cell>
          <cell r="W175">
            <v>504.33000000000004</v>
          </cell>
          <cell r="X175">
            <v>504.32999999999993</v>
          </cell>
          <cell r="Y175">
            <v>504.33000000000015</v>
          </cell>
          <cell r="Z175">
            <v>534.59999999999991</v>
          </cell>
          <cell r="AA175">
            <v>534.59999999999991</v>
          </cell>
          <cell r="AB175">
            <v>534.59999999999991</v>
          </cell>
          <cell r="AC175">
            <v>534.60000000000036</v>
          </cell>
          <cell r="AD175">
            <v>534.59999999999945</v>
          </cell>
          <cell r="AE175">
            <v>534.60000000000036</v>
          </cell>
          <cell r="AF175">
            <v>534.60000000000036</v>
          </cell>
          <cell r="AG175">
            <v>6263.85</v>
          </cell>
        </row>
        <row r="176">
          <cell r="R176" t="str">
            <v>2350/410</v>
          </cell>
          <cell r="S176" t="str">
            <v>MV Tracking</v>
          </cell>
          <cell r="U176">
            <v>568.77</v>
          </cell>
          <cell r="V176">
            <v>583.77</v>
          </cell>
          <cell r="W176">
            <v>583.77</v>
          </cell>
          <cell r="X176">
            <v>583.77</v>
          </cell>
          <cell r="Y176">
            <v>583.77</v>
          </cell>
          <cell r="Z176">
            <v>583.77</v>
          </cell>
          <cell r="AA176">
            <v>583.77</v>
          </cell>
          <cell r="AB176">
            <v>583.77</v>
          </cell>
          <cell r="AC176">
            <v>583.77000000000044</v>
          </cell>
          <cell r="AD176">
            <v>583.76999999999953</v>
          </cell>
          <cell r="AE176">
            <v>583.77000000000044</v>
          </cell>
          <cell r="AF176">
            <v>583.76999999999953</v>
          </cell>
          <cell r="AG176">
            <v>6990.24</v>
          </cell>
        </row>
        <row r="177">
          <cell r="R177" t="str">
            <v>2400/100</v>
          </cell>
          <cell r="S177" t="str">
            <v>Patent - Renewals</v>
          </cell>
          <cell r="U177">
            <v>1886.96</v>
          </cell>
          <cell r="V177">
            <v>3749.96</v>
          </cell>
          <cell r="W177">
            <v>1886.96</v>
          </cell>
          <cell r="X177">
            <v>1886.96</v>
          </cell>
          <cell r="Y177">
            <v>1807.8999999999996</v>
          </cell>
          <cell r="Z177">
            <v>1148.9600000000009</v>
          </cell>
          <cell r="AA177">
            <v>4825.2799999999988</v>
          </cell>
          <cell r="AB177">
            <v>399.56000000000131</v>
          </cell>
          <cell r="AC177">
            <v>4150.5599999999977</v>
          </cell>
          <cell r="AD177">
            <v>399.56000000000131</v>
          </cell>
          <cell r="AE177">
            <v>2272.5600000000013</v>
          </cell>
          <cell r="AF177">
            <v>399.55999999999767</v>
          </cell>
          <cell r="AG177">
            <v>24814.78</v>
          </cell>
        </row>
        <row r="178">
          <cell r="R178" t="str">
            <v>2400/150</v>
          </cell>
          <cell r="S178" t="str">
            <v>Patent - Sundry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</row>
        <row r="179">
          <cell r="R179" t="str">
            <v>2450/100</v>
          </cell>
          <cell r="S179" t="str">
            <v>Postage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</row>
        <row r="180">
          <cell r="R180" t="str">
            <v>2500/100</v>
          </cell>
          <cell r="S180" t="str">
            <v>Prining &amp; Stationery (CTN)</v>
          </cell>
          <cell r="U180">
            <v>6032.11</v>
          </cell>
          <cell r="V180">
            <v>8230.119999999999</v>
          </cell>
          <cell r="W180">
            <v>9375.52</v>
          </cell>
          <cell r="X180">
            <v>3966.2700000000004</v>
          </cell>
          <cell r="Y180">
            <v>7859.3199999999961</v>
          </cell>
          <cell r="Z180">
            <v>5402.6300000000047</v>
          </cell>
          <cell r="AA180">
            <v>5977.6199999999953</v>
          </cell>
          <cell r="AB180">
            <v>5429.4600000000064</v>
          </cell>
          <cell r="AC180">
            <v>3194.1899999999951</v>
          </cell>
          <cell r="AD180">
            <v>5628.9200000000055</v>
          </cell>
          <cell r="AE180">
            <v>1991.4699999999939</v>
          </cell>
          <cell r="AF180">
            <v>4198.0499999999956</v>
          </cell>
          <cell r="AG180">
            <v>67285.679999999993</v>
          </cell>
        </row>
        <row r="181">
          <cell r="R181" t="str">
            <v>2500/150</v>
          </cell>
          <cell r="S181" t="str">
            <v>Prining &amp; Stationery (PTA)</v>
          </cell>
          <cell r="U181">
            <v>352.61</v>
          </cell>
          <cell r="V181">
            <v>837.28000000000009</v>
          </cell>
          <cell r="W181">
            <v>3459.1099999999997</v>
          </cell>
          <cell r="X181">
            <v>329</v>
          </cell>
          <cell r="Y181">
            <v>1429.08</v>
          </cell>
          <cell r="Z181">
            <v>398.32999999999993</v>
          </cell>
          <cell r="AA181">
            <v>800.8100000000004</v>
          </cell>
          <cell r="AB181">
            <v>1795.6500000000005</v>
          </cell>
          <cell r="AC181">
            <v>311.79999999999927</v>
          </cell>
          <cell r="AD181">
            <v>360.29999999999927</v>
          </cell>
          <cell r="AE181">
            <v>902.15999999999985</v>
          </cell>
          <cell r="AF181">
            <v>841.07999999999993</v>
          </cell>
          <cell r="AG181">
            <v>11817.21</v>
          </cell>
        </row>
        <row r="182">
          <cell r="R182" t="str">
            <v>2500/160</v>
          </cell>
          <cell r="S182" t="str">
            <v>Stationery - Printing/Copies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R183" t="str">
            <v>2550/100</v>
          </cell>
          <cell r="S183" t="str">
            <v>R&amp;M Admin Equip - CTN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</row>
        <row r="184">
          <cell r="R184" t="str">
            <v>2550/150</v>
          </cell>
          <cell r="S184" t="str">
            <v>R&amp;M Admin Equip - PTA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R185" t="str">
            <v>2600/100</v>
          </cell>
          <cell r="S185" t="str">
            <v>Rental Equip. - CTN</v>
          </cell>
          <cell r="U185">
            <v>1974.61</v>
          </cell>
          <cell r="V185">
            <v>1974.61</v>
          </cell>
          <cell r="W185">
            <v>1974.6100000000001</v>
          </cell>
          <cell r="X185">
            <v>1974.6099999999997</v>
          </cell>
          <cell r="Y185">
            <v>1968.9800000000005</v>
          </cell>
          <cell r="Z185">
            <v>1968.9799999999996</v>
          </cell>
          <cell r="AA185">
            <v>1963.880000000001</v>
          </cell>
          <cell r="AB185">
            <v>1963.8799999999992</v>
          </cell>
          <cell r="AC185">
            <v>1963.880000000001</v>
          </cell>
          <cell r="AD185">
            <v>1963.8799999999974</v>
          </cell>
          <cell r="AE185">
            <v>1959.5</v>
          </cell>
          <cell r="AF185">
            <v>1959.5</v>
          </cell>
          <cell r="AG185">
            <v>23610.92</v>
          </cell>
        </row>
        <row r="186">
          <cell r="R186" t="str">
            <v>2600/150</v>
          </cell>
          <cell r="S186" t="str">
            <v>Rental Equip. - PTA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</row>
        <row r="187">
          <cell r="R187" t="str">
            <v>2650/100</v>
          </cell>
          <cell r="S187" t="str">
            <v>Research &amp; Development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R188" t="str">
            <v>2700/100</v>
          </cell>
          <cell r="S188" t="str">
            <v>Royalties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R189" t="str">
            <v>3000/100</v>
          </cell>
          <cell r="S189" t="str">
            <v>Salaries - Normal (CTN)</v>
          </cell>
          <cell r="U189">
            <v>999307.06</v>
          </cell>
          <cell r="V189">
            <v>991706.3</v>
          </cell>
          <cell r="W189">
            <v>979096.8899999999</v>
          </cell>
          <cell r="X189">
            <v>1028148.2400000002</v>
          </cell>
          <cell r="Y189">
            <v>953847.20000000019</v>
          </cell>
          <cell r="Z189">
            <v>941180.08999999985</v>
          </cell>
          <cell r="AA189">
            <v>952975.62000000011</v>
          </cell>
          <cell r="AB189">
            <v>957112.16999999993</v>
          </cell>
          <cell r="AC189">
            <v>1031950.879999999</v>
          </cell>
          <cell r="AD189">
            <v>974178.25</v>
          </cell>
          <cell r="AE189">
            <v>958137.20000000112</v>
          </cell>
          <cell r="AF189">
            <v>959807.75</v>
          </cell>
          <cell r="AG189">
            <v>11727447.65</v>
          </cell>
        </row>
        <row r="190">
          <cell r="R190" t="str">
            <v>3000/150</v>
          </cell>
          <cell r="S190" t="str">
            <v>Salaries - Normal (PTA)</v>
          </cell>
          <cell r="U190">
            <v>260424.64</v>
          </cell>
          <cell r="V190">
            <v>261101.95</v>
          </cell>
          <cell r="W190">
            <v>262483.32</v>
          </cell>
          <cell r="X190">
            <v>266171.22999999986</v>
          </cell>
          <cell r="Y190">
            <v>269296.69000000018</v>
          </cell>
          <cell r="Z190">
            <v>273514.33999999985</v>
          </cell>
          <cell r="AA190">
            <v>263519.57000000007</v>
          </cell>
          <cell r="AB190">
            <v>264853.67999999993</v>
          </cell>
          <cell r="AC190">
            <v>267432.95000000019</v>
          </cell>
          <cell r="AD190">
            <v>261666.35999999987</v>
          </cell>
          <cell r="AE190">
            <v>256692.45000000019</v>
          </cell>
          <cell r="AF190">
            <v>263392.29999999981</v>
          </cell>
          <cell r="AG190">
            <v>3170549.48</v>
          </cell>
        </row>
        <row r="191">
          <cell r="R191" t="str">
            <v>3000/200</v>
          </cell>
          <cell r="S191" t="str">
            <v>Salaries - Directors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</row>
        <row r="192">
          <cell r="R192" t="str">
            <v>3000/300</v>
          </cell>
          <cell r="S192" t="str">
            <v>Salaries - Bonus</v>
          </cell>
          <cell r="U192">
            <v>125929.91</v>
          </cell>
          <cell r="V192">
            <v>267529.91000000003</v>
          </cell>
          <cell r="W192">
            <v>125929.90999999997</v>
          </cell>
          <cell r="X192">
            <v>125929.91000000003</v>
          </cell>
          <cell r="Y192">
            <v>125929.91000000003</v>
          </cell>
          <cell r="Z192">
            <v>125929.90999999992</v>
          </cell>
          <cell r="AA192">
            <v>125929.91000000003</v>
          </cell>
          <cell r="AB192">
            <v>125929.91000000003</v>
          </cell>
          <cell r="AC192">
            <v>125929.90999999992</v>
          </cell>
          <cell r="AD192">
            <v>247691.22999999998</v>
          </cell>
          <cell r="AE192">
            <v>0</v>
          </cell>
          <cell r="AF192">
            <v>0</v>
          </cell>
          <cell r="AG192">
            <v>1522660.4200000002</v>
          </cell>
        </row>
        <row r="193">
          <cell r="R193" t="str">
            <v>3000/400</v>
          </cell>
          <cell r="S193" t="str">
            <v>Salaries - Gain Share</v>
          </cell>
          <cell r="U193">
            <v>73404.33</v>
          </cell>
          <cell r="V193">
            <v>74911.529999999984</v>
          </cell>
          <cell r="W193">
            <v>104453.31000000003</v>
          </cell>
          <cell r="X193">
            <v>68626.420000000013</v>
          </cell>
          <cell r="Y193">
            <v>78844.81</v>
          </cell>
          <cell r="Z193">
            <v>20766.819999999949</v>
          </cell>
          <cell r="AA193">
            <v>78583.650000000023</v>
          </cell>
          <cell r="AB193">
            <v>55157.459999999963</v>
          </cell>
          <cell r="AC193">
            <v>100487.81000000006</v>
          </cell>
          <cell r="AD193">
            <v>26554</v>
          </cell>
          <cell r="AE193">
            <v>-8002.9200000000419</v>
          </cell>
          <cell r="AF193">
            <v>38499.890000000014</v>
          </cell>
          <cell r="AG193">
            <v>712287.11</v>
          </cell>
        </row>
        <row r="194">
          <cell r="R194" t="str">
            <v>3000/450</v>
          </cell>
          <cell r="S194" t="str">
            <v>Salaries - Medical Aid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</row>
        <row r="195">
          <cell r="R195" t="str">
            <v>3000/500</v>
          </cell>
          <cell r="S195" t="str">
            <v>Salaries - Providend Fund</v>
          </cell>
          <cell r="U195">
            <v>61372.67</v>
          </cell>
          <cell r="V195">
            <v>61372.67</v>
          </cell>
          <cell r="W195">
            <v>61372.670000000013</v>
          </cell>
          <cell r="X195">
            <v>61372.669999999984</v>
          </cell>
          <cell r="Y195">
            <v>63768.69</v>
          </cell>
          <cell r="Z195">
            <v>63768.69</v>
          </cell>
          <cell r="AA195">
            <v>63768.69</v>
          </cell>
          <cell r="AB195">
            <v>63768.69</v>
          </cell>
          <cell r="AC195">
            <v>63878.69</v>
          </cell>
          <cell r="AD195">
            <v>63878.689999999944</v>
          </cell>
          <cell r="AE195">
            <v>63878.690000000061</v>
          </cell>
          <cell r="AF195">
            <v>63878.689999999944</v>
          </cell>
          <cell r="AG195">
            <v>756080.2</v>
          </cell>
        </row>
        <row r="196">
          <cell r="R196" t="str">
            <v>3000/550</v>
          </cell>
          <cell r="S196" t="str">
            <v>Salaries - UIF CO. Contrib</v>
          </cell>
          <cell r="U196">
            <v>5457.16</v>
          </cell>
          <cell r="V196">
            <v>5211.2999999999993</v>
          </cell>
          <cell r="W196">
            <v>5211.3000000000011</v>
          </cell>
          <cell r="X196">
            <v>5373.4499999999989</v>
          </cell>
          <cell r="Y196">
            <v>5196.8899999999994</v>
          </cell>
          <cell r="Z196">
            <v>5303.8000000000029</v>
          </cell>
          <cell r="AA196">
            <v>5667.8399999999965</v>
          </cell>
          <cell r="AB196">
            <v>5457.9100000000035</v>
          </cell>
          <cell r="AC196">
            <v>5457.9099999999962</v>
          </cell>
          <cell r="AD196">
            <v>5667.8400000000038</v>
          </cell>
          <cell r="AE196">
            <v>5457.9099999999962</v>
          </cell>
          <cell r="AF196">
            <v>5457.9100000000035</v>
          </cell>
          <cell r="AG196">
            <v>64921.22</v>
          </cell>
        </row>
        <row r="197">
          <cell r="R197" t="str">
            <v>3000/600</v>
          </cell>
          <cell r="S197" t="str">
            <v>Salaries - UIF CO. Contrib</v>
          </cell>
          <cell r="U197">
            <v>31042.400000000001</v>
          </cell>
          <cell r="V197">
            <v>31042.400000000001</v>
          </cell>
          <cell r="W197">
            <v>31042.399999999994</v>
          </cell>
          <cell r="X197">
            <v>31042.400000000009</v>
          </cell>
          <cell r="Y197">
            <v>32344.949999999983</v>
          </cell>
          <cell r="Z197">
            <v>32344.950000000012</v>
          </cell>
          <cell r="AA197">
            <v>32344.950000000012</v>
          </cell>
          <cell r="AB197">
            <v>32709.72</v>
          </cell>
          <cell r="AC197">
            <v>36312.589999999997</v>
          </cell>
          <cell r="AD197">
            <v>36312.589999999967</v>
          </cell>
          <cell r="AE197">
            <v>36312.590000000026</v>
          </cell>
          <cell r="AF197">
            <v>36312.590000000026</v>
          </cell>
          <cell r="AG197">
            <v>399164.53</v>
          </cell>
        </row>
        <row r="198">
          <cell r="R198" t="str">
            <v>3200/100</v>
          </cell>
          <cell r="S198" t="str">
            <v>Small  Assets w/off</v>
          </cell>
          <cell r="U198">
            <v>3740</v>
          </cell>
          <cell r="V198">
            <v>5092.08</v>
          </cell>
          <cell r="W198">
            <v>0</v>
          </cell>
          <cell r="X198">
            <v>6979.35</v>
          </cell>
          <cell r="Y198">
            <v>1564.3499999999985</v>
          </cell>
          <cell r="Z198">
            <v>1795</v>
          </cell>
          <cell r="AA198">
            <v>2350</v>
          </cell>
          <cell r="AB198">
            <v>2173.0400000000009</v>
          </cell>
          <cell r="AC198">
            <v>2493.91</v>
          </cell>
          <cell r="AD198">
            <v>0</v>
          </cell>
          <cell r="AE198">
            <v>0</v>
          </cell>
          <cell r="AF198">
            <v>0</v>
          </cell>
          <cell r="AG198">
            <v>26187.73</v>
          </cell>
        </row>
        <row r="199">
          <cell r="R199" t="str">
            <v>3200/150</v>
          </cell>
          <cell r="S199" t="str">
            <v>Assets - Not Tax Ded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</row>
        <row r="200">
          <cell r="R200" t="str">
            <v>3300/100</v>
          </cell>
          <cell r="S200" t="str">
            <v>Staff - Bursary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98981.16</v>
          </cell>
          <cell r="AG200">
            <v>98981.16</v>
          </cell>
        </row>
        <row r="201">
          <cell r="R201" t="str">
            <v>3300/120</v>
          </cell>
          <cell r="S201" t="str">
            <v>Staff - Housing Scheme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</row>
        <row r="202">
          <cell r="R202" t="str">
            <v>3300/150</v>
          </cell>
          <cell r="S202" t="str">
            <v>Staff - Casual Wages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R203" t="str">
            <v>3300/200</v>
          </cell>
          <cell r="S203" t="str">
            <v>Staff - Disputes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</row>
        <row r="204">
          <cell r="R204" t="str">
            <v>3300/250</v>
          </cell>
          <cell r="S204" t="str">
            <v>Staff - Recruitment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</row>
        <row r="205">
          <cell r="R205" t="str">
            <v>3300/300</v>
          </cell>
          <cell r="S205" t="str">
            <v>Staff - Relocation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</row>
        <row r="206">
          <cell r="R206" t="str">
            <v>3300/350</v>
          </cell>
          <cell r="S206" t="str">
            <v>Staff - Retrenchments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R207" t="str">
            <v>3300/400</v>
          </cell>
          <cell r="S207" t="str">
            <v>Staff - Training</v>
          </cell>
          <cell r="U207">
            <v>9960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6510</v>
          </cell>
          <cell r="AC207">
            <v>0</v>
          </cell>
          <cell r="AD207">
            <v>0</v>
          </cell>
          <cell r="AE207">
            <v>7286</v>
          </cell>
          <cell r="AF207">
            <v>6975</v>
          </cell>
          <cell r="AG207">
            <v>30731</v>
          </cell>
        </row>
        <row r="208">
          <cell r="R208" t="str">
            <v>3300/450</v>
          </cell>
          <cell r="S208" t="str">
            <v>Staff - Welfare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R209" t="str">
            <v>3300/500</v>
          </cell>
          <cell r="S209" t="str">
            <v>Staff - Subsistence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R210" t="str">
            <v>3300/550</v>
          </cell>
          <cell r="S210" t="str">
            <v>Staff - Team Building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</row>
        <row r="211">
          <cell r="R211" t="str">
            <v>3300/600</v>
          </cell>
          <cell r="S211" t="str">
            <v>Staff - Xmas Party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24750</v>
          </cell>
          <cell r="AC211">
            <v>7087.5</v>
          </cell>
          <cell r="AD211">
            <v>35510.539999999994</v>
          </cell>
          <cell r="AE211">
            <v>0</v>
          </cell>
          <cell r="AF211">
            <v>0</v>
          </cell>
          <cell r="AG211">
            <v>67348.039999999994</v>
          </cell>
        </row>
        <row r="212">
          <cell r="R212" t="str">
            <v>3300/650</v>
          </cell>
          <cell r="S212" t="str">
            <v>Staff - Soccer Club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2500</v>
          </cell>
          <cell r="AG212">
            <v>2500</v>
          </cell>
        </row>
        <row r="213">
          <cell r="R213" t="str">
            <v>3400/100</v>
          </cell>
          <cell r="S213" t="str">
            <v>Sundry Expenses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</row>
        <row r="214">
          <cell r="R214" t="str">
            <v>3500/100</v>
          </cell>
          <cell r="S214" t="str">
            <v>Subscriptions / Licence</v>
          </cell>
          <cell r="U214">
            <v>5438.42</v>
          </cell>
          <cell r="V214">
            <v>5207.99</v>
          </cell>
          <cell r="W214">
            <v>5207.99</v>
          </cell>
          <cell r="X214">
            <v>5825.3799999999992</v>
          </cell>
          <cell r="Y214">
            <v>6531.9900000000016</v>
          </cell>
          <cell r="Z214">
            <v>5207.9900000000016</v>
          </cell>
          <cell r="AA214">
            <v>5207.989999999998</v>
          </cell>
          <cell r="AB214">
            <v>5207.989999999998</v>
          </cell>
          <cell r="AC214">
            <v>5207.9900000000052</v>
          </cell>
          <cell r="AD214">
            <v>5207.989999999998</v>
          </cell>
          <cell r="AE214">
            <v>14231.75</v>
          </cell>
          <cell r="AF214">
            <v>11129.589999999997</v>
          </cell>
          <cell r="AG214">
            <v>79613.06</v>
          </cell>
        </row>
        <row r="215">
          <cell r="R215" t="str">
            <v>3600/100</v>
          </cell>
          <cell r="S215" t="str">
            <v>Telephone - ADSL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</row>
        <row r="216">
          <cell r="R216" t="str">
            <v>3600/150</v>
          </cell>
          <cell r="S216" t="str">
            <v>Telephone - Landline(CTN)</v>
          </cell>
          <cell r="U216">
            <v>1786.84</v>
          </cell>
          <cell r="V216">
            <v>1826.24</v>
          </cell>
          <cell r="W216">
            <v>1688.2399999999998</v>
          </cell>
          <cell r="X216">
            <v>1509.9099999999999</v>
          </cell>
          <cell r="Y216">
            <v>1710.83</v>
          </cell>
          <cell r="Z216">
            <v>1507.6000000000004</v>
          </cell>
          <cell r="AA216">
            <v>1374</v>
          </cell>
          <cell r="AB216">
            <v>1480.0400000000009</v>
          </cell>
          <cell r="AC216">
            <v>1419.5199999999986</v>
          </cell>
          <cell r="AD216">
            <v>540.75</v>
          </cell>
          <cell r="AE216">
            <v>1040.4400000000005</v>
          </cell>
          <cell r="AF216">
            <v>1232.8499999999985</v>
          </cell>
          <cell r="AG216">
            <v>17117.259999999998</v>
          </cell>
        </row>
        <row r="217">
          <cell r="R217" t="str">
            <v>3600/200</v>
          </cell>
          <cell r="S217" t="str">
            <v>Telephone - Landline(PTA)</v>
          </cell>
          <cell r="U217">
            <v>3614.62</v>
          </cell>
          <cell r="V217">
            <v>3604.0200000000004</v>
          </cell>
          <cell r="W217">
            <v>1404.3499999999995</v>
          </cell>
          <cell r="X217">
            <v>1491.3000000000011</v>
          </cell>
          <cell r="Y217">
            <v>1404.3499999999985</v>
          </cell>
          <cell r="Z217">
            <v>3498.26</v>
          </cell>
          <cell r="AA217">
            <v>1507.83</v>
          </cell>
          <cell r="AB217">
            <v>1663.4799999999996</v>
          </cell>
          <cell r="AC217">
            <v>1579.1100000000006</v>
          </cell>
          <cell r="AD217">
            <v>559.13000000000102</v>
          </cell>
          <cell r="AE217">
            <v>1442.6100000000006</v>
          </cell>
          <cell r="AF217">
            <v>585.20999999999913</v>
          </cell>
          <cell r="AG217">
            <v>22354.27</v>
          </cell>
        </row>
        <row r="218">
          <cell r="R218" t="str">
            <v>3600/250</v>
          </cell>
          <cell r="S218" t="str">
            <v>Telephone Rentals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</row>
        <row r="219">
          <cell r="R219" t="str">
            <v>3600/300</v>
          </cell>
          <cell r="S219" t="str">
            <v>Telephone - PABX support</v>
          </cell>
          <cell r="U219">
            <v>2000</v>
          </cell>
          <cell r="V219">
            <v>2000</v>
          </cell>
          <cell r="W219">
            <v>2000</v>
          </cell>
          <cell r="X219">
            <v>2000</v>
          </cell>
          <cell r="Y219">
            <v>2000</v>
          </cell>
          <cell r="Z219">
            <v>2000</v>
          </cell>
          <cell r="AA219">
            <v>2000</v>
          </cell>
          <cell r="AB219">
            <v>2000</v>
          </cell>
          <cell r="AC219">
            <v>2000</v>
          </cell>
          <cell r="AD219">
            <v>2000</v>
          </cell>
          <cell r="AE219">
            <v>2000</v>
          </cell>
          <cell r="AF219">
            <v>2000</v>
          </cell>
          <cell r="AG219">
            <v>24000</v>
          </cell>
        </row>
        <row r="220">
          <cell r="R220" t="str">
            <v>3900/100</v>
          </cell>
          <cell r="S220" t="str">
            <v>Depreciation - Designs</v>
          </cell>
          <cell r="U220">
            <v>3451.25</v>
          </cell>
          <cell r="V220">
            <v>3451.25</v>
          </cell>
          <cell r="W220">
            <v>3451.25</v>
          </cell>
          <cell r="X220">
            <v>3451.25</v>
          </cell>
          <cell r="Y220">
            <v>3451.25</v>
          </cell>
          <cell r="Z220">
            <v>3451.25</v>
          </cell>
          <cell r="AA220">
            <v>3451.25</v>
          </cell>
          <cell r="AB220">
            <v>3451.25</v>
          </cell>
          <cell r="AC220">
            <v>3451.25</v>
          </cell>
          <cell r="AD220">
            <v>3451.25</v>
          </cell>
          <cell r="AE220">
            <v>3451.25</v>
          </cell>
          <cell r="AF220">
            <v>3451.3899999999994</v>
          </cell>
          <cell r="AG220">
            <v>41415.14</v>
          </cell>
        </row>
        <row r="221">
          <cell r="R221" t="str">
            <v>3900/150</v>
          </cell>
          <cell r="S221" t="str">
            <v>Depreciation - Computers</v>
          </cell>
          <cell r="U221">
            <v>8547</v>
          </cell>
          <cell r="V221">
            <v>9225.82</v>
          </cell>
          <cell r="W221">
            <v>8639.43</v>
          </cell>
          <cell r="X221">
            <v>8639.43</v>
          </cell>
          <cell r="Y221">
            <v>8639.43</v>
          </cell>
          <cell r="Z221">
            <v>8639.43</v>
          </cell>
          <cell r="AA221">
            <v>8639.43</v>
          </cell>
          <cell r="AB221">
            <v>8379.1499999999942</v>
          </cell>
          <cell r="AC221">
            <v>8379.1500000000087</v>
          </cell>
          <cell r="AD221">
            <v>7845.8199999999924</v>
          </cell>
          <cell r="AE221">
            <v>7590.6800000000076</v>
          </cell>
          <cell r="AF221">
            <v>7021.6299999999901</v>
          </cell>
          <cell r="AG221">
            <v>100186.4</v>
          </cell>
        </row>
        <row r="222">
          <cell r="R222" t="str">
            <v>3900/200</v>
          </cell>
          <cell r="S222" t="str">
            <v>Depreciation - Furn &amp; Fitt.</v>
          </cell>
          <cell r="U222">
            <v>4434.57</v>
          </cell>
          <cell r="V222">
            <v>4434.57</v>
          </cell>
          <cell r="W222">
            <v>4332.57</v>
          </cell>
          <cell r="X222">
            <v>4332.57</v>
          </cell>
          <cell r="Y222">
            <v>4332.57</v>
          </cell>
          <cell r="Z222">
            <v>4332.57</v>
          </cell>
          <cell r="AA222">
            <v>4332.5700000000033</v>
          </cell>
          <cell r="AB222">
            <v>4332.5699999999961</v>
          </cell>
          <cell r="AC222">
            <v>4332.57</v>
          </cell>
          <cell r="AD222">
            <v>4332.57</v>
          </cell>
          <cell r="AE222">
            <v>4332.57</v>
          </cell>
          <cell r="AF222">
            <v>4332.3400000000038</v>
          </cell>
          <cell r="AG222">
            <v>52194.61</v>
          </cell>
        </row>
        <row r="223">
          <cell r="R223" t="str">
            <v>3900/250</v>
          </cell>
          <cell r="S223" t="str">
            <v>Depreciation - Motor Vehichles</v>
          </cell>
          <cell r="U223">
            <v>3735.05</v>
          </cell>
          <cell r="V223">
            <v>3735.05</v>
          </cell>
          <cell r="W223">
            <v>3735.0499999999993</v>
          </cell>
          <cell r="X223">
            <v>3735.0500000000011</v>
          </cell>
          <cell r="Y223">
            <v>3735.0499999999993</v>
          </cell>
          <cell r="Z223">
            <v>3735.0499999999993</v>
          </cell>
          <cell r="AA223">
            <v>3735.0499999999993</v>
          </cell>
          <cell r="AB223">
            <v>3735.0500000000029</v>
          </cell>
          <cell r="AC223">
            <v>3735.0499999999956</v>
          </cell>
          <cell r="AD223">
            <v>3735.0500000000029</v>
          </cell>
          <cell r="AE223">
            <v>3735.0500000000029</v>
          </cell>
          <cell r="AF223">
            <v>3735</v>
          </cell>
          <cell r="AG223">
            <v>44820.55</v>
          </cell>
        </row>
        <row r="224">
          <cell r="R224" t="str">
            <v>3900/300</v>
          </cell>
          <cell r="S224" t="str">
            <v>Depreciation - Patents</v>
          </cell>
          <cell r="U224">
            <v>2584.91</v>
          </cell>
          <cell r="V224">
            <v>2584.91</v>
          </cell>
          <cell r="W224">
            <v>2584.91</v>
          </cell>
          <cell r="X224">
            <v>2584.91</v>
          </cell>
          <cell r="Y224">
            <v>2584.91</v>
          </cell>
          <cell r="Z224">
            <v>2584.91</v>
          </cell>
          <cell r="AA224">
            <v>2584.91</v>
          </cell>
          <cell r="AB224">
            <v>2492.880000000001</v>
          </cell>
          <cell r="AC224">
            <v>2397.1800000000003</v>
          </cell>
          <cell r="AD224">
            <v>2397.1800000000003</v>
          </cell>
          <cell r="AE224">
            <v>2397.1800000000003</v>
          </cell>
          <cell r="AF224">
            <v>2397.3199999999997</v>
          </cell>
          <cell r="AG224">
            <v>30176.11</v>
          </cell>
        </row>
        <row r="225">
          <cell r="R225" t="str">
            <v>3900/350</v>
          </cell>
          <cell r="S225" t="str">
            <v>Depreciation - Office Equip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</row>
        <row r="226">
          <cell r="R226" t="str">
            <v>3900/400</v>
          </cell>
          <cell r="S226" t="str">
            <v>Depreciation - Leasehold</v>
          </cell>
          <cell r="U226">
            <v>361.69</v>
          </cell>
          <cell r="V226">
            <v>522.3900000000001</v>
          </cell>
          <cell r="W226">
            <v>522.39</v>
          </cell>
          <cell r="X226">
            <v>522.38999999999987</v>
          </cell>
          <cell r="Y226">
            <v>522.3900000000001</v>
          </cell>
          <cell r="Z226">
            <v>522.38999999999987</v>
          </cell>
          <cell r="AA226">
            <v>522.39000000000033</v>
          </cell>
          <cell r="AB226">
            <v>522.38999999999987</v>
          </cell>
          <cell r="AC226">
            <v>522.39000000000033</v>
          </cell>
          <cell r="AD226">
            <v>522.38999999999942</v>
          </cell>
          <cell r="AE226">
            <v>522.39000000000033</v>
          </cell>
          <cell r="AF226">
            <v>522.38000000000011</v>
          </cell>
          <cell r="AG226">
            <v>6107.97</v>
          </cell>
        </row>
        <row r="227">
          <cell r="R227" t="str">
            <v>4200/100</v>
          </cell>
          <cell r="S227" t="str">
            <v>Advertising</v>
          </cell>
          <cell r="U227">
            <v>20250</v>
          </cell>
          <cell r="V227">
            <v>3200</v>
          </cell>
          <cell r="W227">
            <v>3200</v>
          </cell>
          <cell r="X227">
            <v>9450</v>
          </cell>
          <cell r="Y227">
            <v>3200</v>
          </cell>
          <cell r="Z227">
            <v>14350</v>
          </cell>
          <cell r="AA227">
            <v>12000</v>
          </cell>
          <cell r="AB227">
            <v>12650</v>
          </cell>
          <cell r="AC227">
            <v>9900</v>
          </cell>
          <cell r="AD227">
            <v>9450</v>
          </cell>
          <cell r="AE227">
            <v>10200</v>
          </cell>
          <cell r="AF227">
            <v>5200</v>
          </cell>
          <cell r="AG227">
            <v>113050</v>
          </cell>
        </row>
        <row r="228">
          <cell r="R228" t="str">
            <v>4200/150</v>
          </cell>
          <cell r="S228" t="str">
            <v>Use 4200/160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R229" t="str">
            <v>4200/160</v>
          </cell>
          <cell r="S229" t="str">
            <v>Marketing and Promotion</v>
          </cell>
          <cell r="U229">
            <v>758.46</v>
          </cell>
          <cell r="V229">
            <v>572</v>
          </cell>
          <cell r="W229">
            <v>9447</v>
          </cell>
          <cell r="X229">
            <v>90161.01999999999</v>
          </cell>
          <cell r="Y229">
            <v>10537.11</v>
          </cell>
          <cell r="Z229">
            <v>3392</v>
          </cell>
          <cell r="AA229">
            <v>8048</v>
          </cell>
          <cell r="AB229">
            <v>572</v>
          </cell>
          <cell r="AC229">
            <v>572</v>
          </cell>
          <cell r="AD229">
            <v>0</v>
          </cell>
          <cell r="AE229">
            <v>1144</v>
          </cell>
          <cell r="AF229">
            <v>1210.25</v>
          </cell>
          <cell r="AG229">
            <v>126413.83999999998</v>
          </cell>
        </row>
        <row r="230">
          <cell r="R230" t="str">
            <v>4300/100</v>
          </cell>
          <cell r="S230" t="str">
            <v>Bad Debts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R231" t="str">
            <v>4300/150</v>
          </cell>
          <cell r="S231" t="str">
            <v>Bad Debts - Provision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</row>
        <row r="232">
          <cell r="R232" t="str">
            <v>4300/200</v>
          </cell>
          <cell r="S232" t="str">
            <v>Debtors - Adjustments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R233" t="str">
            <v>4400/100</v>
          </cell>
          <cell r="S233" t="str">
            <v>Entertainment - CTN</v>
          </cell>
          <cell r="U233">
            <v>0</v>
          </cell>
          <cell r="V233">
            <v>205</v>
          </cell>
          <cell r="W233">
            <v>87.899999999999977</v>
          </cell>
          <cell r="X233">
            <v>1583</v>
          </cell>
          <cell r="Y233">
            <v>0</v>
          </cell>
          <cell r="Z233">
            <v>60</v>
          </cell>
          <cell r="AA233">
            <v>1347</v>
          </cell>
          <cell r="AB233">
            <v>246.54999999999973</v>
          </cell>
          <cell r="AC233">
            <v>450</v>
          </cell>
          <cell r="AD233">
            <v>0</v>
          </cell>
          <cell r="AE233">
            <v>0</v>
          </cell>
          <cell r="AF233">
            <v>0</v>
          </cell>
          <cell r="AG233">
            <v>3979.45</v>
          </cell>
        </row>
        <row r="234">
          <cell r="R234" t="str">
            <v>4400/150</v>
          </cell>
          <cell r="S234" t="str">
            <v>Entertainment - PTA</v>
          </cell>
          <cell r="U234">
            <v>0</v>
          </cell>
          <cell r="V234">
            <v>768.7</v>
          </cell>
          <cell r="W234">
            <v>462</v>
          </cell>
          <cell r="X234">
            <v>0</v>
          </cell>
          <cell r="Y234">
            <v>256.59999999999991</v>
          </cell>
          <cell r="Z234">
            <v>0</v>
          </cell>
          <cell r="AA234">
            <v>523.60000000000014</v>
          </cell>
          <cell r="AB234">
            <v>0</v>
          </cell>
          <cell r="AC234">
            <v>342</v>
          </cell>
          <cell r="AD234">
            <v>0</v>
          </cell>
          <cell r="AE234">
            <v>221</v>
          </cell>
          <cell r="AF234">
            <v>789</v>
          </cell>
          <cell r="AG234">
            <v>3362.9</v>
          </cell>
        </row>
        <row r="235">
          <cell r="R235" t="str">
            <v>4400/200</v>
          </cell>
          <cell r="S235" t="str">
            <v>Entertainment - Export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657.6</v>
          </cell>
          <cell r="AC235">
            <v>10031.699999999999</v>
          </cell>
          <cell r="AD235">
            <v>0</v>
          </cell>
          <cell r="AE235">
            <v>0</v>
          </cell>
          <cell r="AF235">
            <v>0</v>
          </cell>
          <cell r="AG235">
            <v>10689.3</v>
          </cell>
        </row>
        <row r="236">
          <cell r="R236" t="str">
            <v>4450/000</v>
          </cell>
          <cell r="S236" t="str">
            <v>Theft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65.680000000000007</v>
          </cell>
          <cell r="AA236">
            <v>-65.680000000000007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13468</v>
          </cell>
          <cell r="AG236">
            <v>13468</v>
          </cell>
        </row>
        <row r="237">
          <cell r="R237" t="str">
            <v>4500/100</v>
          </cell>
          <cell r="S237" t="str">
            <v>Gifts</v>
          </cell>
          <cell r="U237">
            <v>221.2</v>
          </cell>
          <cell r="V237">
            <v>443.90000000000003</v>
          </cell>
          <cell r="W237">
            <v>435.69999999999993</v>
          </cell>
          <cell r="X237">
            <v>1230.0000000000002</v>
          </cell>
          <cell r="Y237">
            <v>0</v>
          </cell>
          <cell r="Z237">
            <v>439.98999999999978</v>
          </cell>
          <cell r="AA237">
            <v>0</v>
          </cell>
          <cell r="AB237">
            <v>0</v>
          </cell>
          <cell r="AC237">
            <v>17450</v>
          </cell>
          <cell r="AD237">
            <v>54312.859999999993</v>
          </cell>
          <cell r="AE237">
            <v>0</v>
          </cell>
          <cell r="AF237">
            <v>0</v>
          </cell>
          <cell r="AG237">
            <v>74533.649999999994</v>
          </cell>
        </row>
        <row r="238">
          <cell r="R238" t="str">
            <v>4600/100</v>
          </cell>
          <cell r="S238" t="str">
            <v>Sales - Commission</v>
          </cell>
          <cell r="U238">
            <v>65649.789999999994</v>
          </cell>
          <cell r="V238">
            <v>110304.60000000002</v>
          </cell>
          <cell r="W238">
            <v>44465.81</v>
          </cell>
          <cell r="X238">
            <v>231621.89</v>
          </cell>
          <cell r="Y238">
            <v>101179.49999999994</v>
          </cell>
          <cell r="Z238">
            <v>86007.590000000084</v>
          </cell>
          <cell r="AA238">
            <v>84960</v>
          </cell>
          <cell r="AB238">
            <v>82301.579999999958</v>
          </cell>
          <cell r="AC238">
            <v>223689</v>
          </cell>
          <cell r="AD238">
            <v>6724.5</v>
          </cell>
          <cell r="AE238">
            <v>118887.69999999995</v>
          </cell>
          <cell r="AF238">
            <v>184491.60000000009</v>
          </cell>
          <cell r="AG238">
            <v>1340283.56</v>
          </cell>
        </row>
        <row r="239">
          <cell r="R239" t="str">
            <v>4600/125</v>
          </cell>
          <cell r="S239" t="str">
            <v>Sales Commission - RADI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R240" t="str">
            <v>4600/150</v>
          </cell>
          <cell r="S240" t="str">
            <v>Settlement Discount Allowed</v>
          </cell>
          <cell r="U240">
            <v>43040.24</v>
          </cell>
          <cell r="V240">
            <v>91982.760000000009</v>
          </cell>
          <cell r="W240">
            <v>102203.01000000001</v>
          </cell>
          <cell r="X240">
            <v>95861.599999999977</v>
          </cell>
          <cell r="Y240">
            <v>170158.92000000004</v>
          </cell>
          <cell r="Z240">
            <v>127748.84999999998</v>
          </cell>
          <cell r="AA240">
            <v>113202.73999999999</v>
          </cell>
          <cell r="AB240">
            <v>155088.38</v>
          </cell>
          <cell r="AC240">
            <v>116928.71999999997</v>
          </cell>
          <cell r="AD240">
            <v>97712.310000000056</v>
          </cell>
          <cell r="AE240">
            <v>26599.959999999963</v>
          </cell>
          <cell r="AF240">
            <v>39106.459999999963</v>
          </cell>
          <cell r="AG240">
            <v>1179633.95</v>
          </cell>
        </row>
        <row r="241">
          <cell r="R241" t="str">
            <v>4700/100</v>
          </cell>
          <cell r="S241" t="str">
            <v>Travel - International</v>
          </cell>
          <cell r="U241">
            <v>43684.66</v>
          </cell>
          <cell r="V241">
            <v>0</v>
          </cell>
          <cell r="W241">
            <v>0</v>
          </cell>
          <cell r="X241">
            <v>52483.959999999992</v>
          </cell>
          <cell r="Y241">
            <v>16193.580000000002</v>
          </cell>
          <cell r="Z241">
            <v>0</v>
          </cell>
          <cell r="AA241">
            <v>67970.509999999995</v>
          </cell>
          <cell r="AB241">
            <v>822.91000000000349</v>
          </cell>
          <cell r="AC241">
            <v>102909.87</v>
          </cell>
          <cell r="AD241">
            <v>20518.650000000023</v>
          </cell>
          <cell r="AE241">
            <v>0</v>
          </cell>
          <cell r="AF241">
            <v>80262.200000000012</v>
          </cell>
          <cell r="AG241">
            <v>384846.34</v>
          </cell>
        </row>
        <row r="242">
          <cell r="R242" t="str">
            <v>4700/150</v>
          </cell>
          <cell r="S242" t="str">
            <v>Travel - National</v>
          </cell>
          <cell r="U242">
            <v>4682.3900000000003</v>
          </cell>
          <cell r="V242">
            <v>425.73999999999978</v>
          </cell>
          <cell r="W242">
            <v>4749.37</v>
          </cell>
          <cell r="X242">
            <v>30198.35</v>
          </cell>
          <cell r="Y242">
            <v>1582.0800000000017</v>
          </cell>
          <cell r="Z242">
            <v>4263.6200000000026</v>
          </cell>
          <cell r="AA242">
            <v>4830.0599999999977</v>
          </cell>
          <cell r="AB242">
            <v>5433.5599999999977</v>
          </cell>
          <cell r="AC242">
            <v>7165.4199999999983</v>
          </cell>
          <cell r="AD242">
            <v>0</v>
          </cell>
          <cell r="AE242">
            <v>0</v>
          </cell>
          <cell r="AF242">
            <v>3999.2100000000064</v>
          </cell>
          <cell r="AG242">
            <v>67329.8</v>
          </cell>
        </row>
        <row r="243">
          <cell r="R243" t="str">
            <v>4750/150</v>
          </cell>
          <cell r="S243" t="str">
            <v>Travel - National PTA</v>
          </cell>
          <cell r="U243">
            <v>1992.5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2515.17</v>
          </cell>
          <cell r="AA243">
            <v>1702.75</v>
          </cell>
          <cell r="AB243">
            <v>3379.9799999999996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9590.4</v>
          </cell>
        </row>
        <row r="244">
          <cell r="R244" t="str">
            <v>4900/000</v>
          </cell>
          <cell r="S244" t="str">
            <v>SARS Interest and Penalties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0.18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0.18</v>
          </cell>
        </row>
        <row r="245">
          <cell r="R245" t="str">
            <v>5000/100</v>
          </cell>
          <cell r="S245" t="str">
            <v>Interest Paid - Other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</row>
        <row r="246">
          <cell r="R246" t="str">
            <v>5000/150</v>
          </cell>
          <cell r="S246" t="str">
            <v>Interest Paid - Bank O/D</v>
          </cell>
          <cell r="U246">
            <v>0.34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3.87</v>
          </cell>
          <cell r="AD246">
            <v>25.05</v>
          </cell>
          <cell r="AE246">
            <v>2.9299999999999962</v>
          </cell>
          <cell r="AF246">
            <v>1.0000000000005116E-2</v>
          </cell>
          <cell r="AG246">
            <v>32.200000000000003</v>
          </cell>
        </row>
        <row r="247">
          <cell r="R247" t="str">
            <v>5000/200</v>
          </cell>
          <cell r="S247" t="str">
            <v>Interest Paid - B Rickard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</row>
        <row r="248">
          <cell r="R248" t="str">
            <v>5000/250</v>
          </cell>
          <cell r="S248" t="str">
            <v>Interest Rec - R Smith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R249" t="str">
            <v>5000/300</v>
          </cell>
          <cell r="S249" t="str">
            <v>Interest Rec - T Khambule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</row>
        <row r="250">
          <cell r="R250" t="str">
            <v>5000/350</v>
          </cell>
          <cell r="S250" t="str">
            <v>Interest Paid - G Paris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1768.96</v>
          </cell>
          <cell r="Z250">
            <v>1766.3600000000001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3535.32</v>
          </cell>
        </row>
        <row r="251">
          <cell r="R251" t="str">
            <v>5000/400</v>
          </cell>
          <cell r="S251" t="str">
            <v>Interest Paid - R Caldwell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R252" t="str">
            <v>5000/450</v>
          </cell>
          <cell r="S252" t="str">
            <v>Interest Paid - Canamaran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11830</v>
          </cell>
          <cell r="Z252">
            <v>5909.130000000001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17739.13</v>
          </cell>
        </row>
        <row r="253">
          <cell r="R253" t="str">
            <v>5000/500</v>
          </cell>
          <cell r="S253" t="str">
            <v>Interest Paid - Investec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R254" t="str">
            <v>5000/600</v>
          </cell>
          <cell r="S254" t="str">
            <v>Interest Paid - CW Bosch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2041.67</v>
          </cell>
          <cell r="Z254">
            <v>1147.7999999999997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3189.47</v>
          </cell>
        </row>
        <row r="255">
          <cell r="R255" t="str">
            <v>5000/650</v>
          </cell>
          <cell r="S255" t="str">
            <v>Interest - Chrisanna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2223.96</v>
          </cell>
          <cell r="Z255">
            <v>936.59000000000015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3160.55</v>
          </cell>
        </row>
        <row r="256">
          <cell r="R256" t="str">
            <v>5000/700</v>
          </cell>
          <cell r="S256" t="str">
            <v>Interest - G Paris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</row>
        <row r="257">
          <cell r="R257" t="str">
            <v>5000/750</v>
          </cell>
          <cell r="S257" t="str">
            <v>Interest - A Mohamed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R258" t="str">
            <v>5000/800</v>
          </cell>
          <cell r="S258" t="str">
            <v>Interest - Khambule trust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510.42</v>
          </cell>
          <cell r="Z258">
            <v>499.45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1009.87</v>
          </cell>
        </row>
        <row r="259">
          <cell r="R259" t="str">
            <v>5100/100</v>
          </cell>
          <cell r="S259" t="str">
            <v>Interest Received - Bank</v>
          </cell>
          <cell r="U259">
            <v>-112367.66</v>
          </cell>
          <cell r="V259">
            <v>-131439.56</v>
          </cell>
          <cell r="W259">
            <v>-110653.50999999998</v>
          </cell>
          <cell r="X259">
            <v>-114607.53000000003</v>
          </cell>
          <cell r="Y259">
            <v>-124406.13</v>
          </cell>
          <cell r="Z259">
            <v>-76607.790000000037</v>
          </cell>
          <cell r="AA259">
            <v>-217161.67999999993</v>
          </cell>
          <cell r="AB259">
            <v>-143599.55000000005</v>
          </cell>
          <cell r="AC259">
            <v>-72007.249999999884</v>
          </cell>
          <cell r="AD259">
            <v>-250083.79000000004</v>
          </cell>
          <cell r="AE259">
            <v>-166644.02000000002</v>
          </cell>
          <cell r="AF259">
            <v>-160400.05000000005</v>
          </cell>
          <cell r="AG259">
            <v>-1679978.52</v>
          </cell>
        </row>
        <row r="260">
          <cell r="R260" t="str">
            <v>5100/200</v>
          </cell>
          <cell r="S260" t="str">
            <v>Interest Received - RADUS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R261" t="str">
            <v>5100/300</v>
          </cell>
          <cell r="S261" t="str">
            <v>Interest Received - Other</v>
          </cell>
          <cell r="U261">
            <v>-35116.33</v>
          </cell>
          <cell r="V261">
            <v>-39296.949999999997</v>
          </cell>
          <cell r="W261">
            <v>-45968.08</v>
          </cell>
          <cell r="X261">
            <v>-28312.58</v>
          </cell>
          <cell r="Y261">
            <v>-42536.72</v>
          </cell>
          <cell r="Z261">
            <v>-28324.889999999985</v>
          </cell>
          <cell r="AA261">
            <v>-28277.460000000021</v>
          </cell>
          <cell r="AB261">
            <v>-45158.880000000005</v>
          </cell>
          <cell r="AC261">
            <v>-25602.299999999988</v>
          </cell>
          <cell r="AD261">
            <v>-27589.669999999984</v>
          </cell>
          <cell r="AE261">
            <v>-41739.080000000016</v>
          </cell>
          <cell r="AF261">
            <v>-24943.25</v>
          </cell>
          <cell r="AG261">
            <v>-412866.19</v>
          </cell>
        </row>
        <row r="262">
          <cell r="R262" t="str">
            <v>5100/350</v>
          </cell>
          <cell r="S262" t="str">
            <v>Interest Received - Chris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R263" t="str">
            <v>5100/400</v>
          </cell>
          <cell r="S263" t="str">
            <v>Interest Received -RPG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</row>
        <row r="264">
          <cell r="R264" t="str">
            <v>5100/500</v>
          </cell>
          <cell r="S264" t="str">
            <v>Interest Received -M Abrahams</v>
          </cell>
          <cell r="U264">
            <v>-743.78</v>
          </cell>
          <cell r="V264">
            <v>-600.68000000000006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-7036.81</v>
          </cell>
          <cell r="AG264">
            <v>-8381.27</v>
          </cell>
        </row>
        <row r="265">
          <cell r="R265" t="str">
            <v>5100/900</v>
          </cell>
          <cell r="S265" t="str">
            <v>Interest Received -SARS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R266" t="str">
            <v>5200/000</v>
          </cell>
          <cell r="S266" t="str">
            <v>Gains Investment</v>
          </cell>
          <cell r="U266">
            <v>-7409.05</v>
          </cell>
          <cell r="V266">
            <v>12130.09</v>
          </cell>
          <cell r="W266">
            <v>-23838.15</v>
          </cell>
          <cell r="X266">
            <v>376.5</v>
          </cell>
          <cell r="Y266">
            <v>-15762.800000000003</v>
          </cell>
          <cell r="Z266">
            <v>-1777.25</v>
          </cell>
          <cell r="AA266">
            <v>-19642.299999999996</v>
          </cell>
          <cell r="AB266">
            <v>-15988.099999999999</v>
          </cell>
          <cell r="AC266">
            <v>-1582.820000000007</v>
          </cell>
          <cell r="AD266">
            <v>-19240.569999999992</v>
          </cell>
          <cell r="AE266">
            <v>-13009.479999999996</v>
          </cell>
          <cell r="AF266">
            <v>1808.429999999993</v>
          </cell>
          <cell r="AG266">
            <v>-103935.5</v>
          </cell>
        </row>
        <row r="267">
          <cell r="R267" t="str">
            <v>5400/100</v>
          </cell>
          <cell r="S267" t="str">
            <v>Dividends</v>
          </cell>
          <cell r="U267">
            <v>0</v>
          </cell>
          <cell r="V267">
            <v>0</v>
          </cell>
          <cell r="W267">
            <v>6000000</v>
          </cell>
          <cell r="X267">
            <v>5000000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11000000</v>
          </cell>
        </row>
        <row r="268">
          <cell r="R268" t="str">
            <v>5450/100</v>
          </cell>
          <cell r="S268" t="str">
            <v>Dividents Received - LHA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-520000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-520000</v>
          </cell>
        </row>
        <row r="269">
          <cell r="R269" t="str">
            <v>5500/100</v>
          </cell>
          <cell r="S269" t="str">
            <v>SA Normal Tax - Current Year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2626474.63</v>
          </cell>
          <cell r="AA269">
            <v>0</v>
          </cell>
          <cell r="AB269">
            <v>144357.37000000011</v>
          </cell>
          <cell r="AC269">
            <v>0</v>
          </cell>
          <cell r="AD269">
            <v>0</v>
          </cell>
          <cell r="AE269">
            <v>0</v>
          </cell>
          <cell r="AF269">
            <v>4940026.75</v>
          </cell>
          <cell r="AG269">
            <v>7710858.75</v>
          </cell>
        </row>
        <row r="270">
          <cell r="R270" t="str">
            <v>5500/150</v>
          </cell>
          <cell r="S270" t="str">
            <v>SA Normal Tax - Prev Year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-140.4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-140.4</v>
          </cell>
        </row>
        <row r="271">
          <cell r="R271" t="str">
            <v>5500/200</v>
          </cell>
          <cell r="S271" t="str">
            <v>SA Deffered Tax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-154194.07</v>
          </cell>
          <cell r="AG271">
            <v>-154194.07</v>
          </cell>
        </row>
        <row r="272">
          <cell r="R272" t="str">
            <v>5500/250</v>
          </cell>
          <cell r="S272" t="str">
            <v>SA Capital Tax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R273" t="str">
            <v>5500/260</v>
          </cell>
          <cell r="S273" t="str">
            <v>SA Tax -  DWT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R274" t="str">
            <v>6000/000</v>
          </cell>
          <cell r="S274" t="str">
            <v>Retained earnings account</v>
          </cell>
          <cell r="U274">
            <v>-78796805.299999997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-78796805.299999997</v>
          </cell>
        </row>
        <row r="275">
          <cell r="R275" t="str">
            <v>6100/000</v>
          </cell>
          <cell r="S275" t="str">
            <v>Share Capital</v>
          </cell>
          <cell r="U275">
            <v>-5000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-5000</v>
          </cell>
        </row>
        <row r="276">
          <cell r="R276" t="str">
            <v>6100/200</v>
          </cell>
          <cell r="S276" t="str">
            <v>Share Premium</v>
          </cell>
          <cell r="U276">
            <v>-59146.8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-59146.8</v>
          </cell>
        </row>
        <row r="277">
          <cell r="R277" t="str">
            <v>6500/100</v>
          </cell>
          <cell r="S277" t="str">
            <v>Loan Account - C Bosch</v>
          </cell>
          <cell r="U277">
            <v>0</v>
          </cell>
          <cell r="V277">
            <v>0</v>
          </cell>
          <cell r="W277">
            <v>0</v>
          </cell>
          <cell r="X277">
            <v>-400000</v>
          </cell>
          <cell r="Y277">
            <v>117958.33000000002</v>
          </cell>
          <cell r="Z277">
            <v>118852.19999999998</v>
          </cell>
          <cell r="AA277">
            <v>163189.47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278">
          <cell r="R278" t="str">
            <v>6500/150</v>
          </cell>
          <cell r="S278" t="str">
            <v>Loan Account - B Rickard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R279" t="str">
            <v>6500/200</v>
          </cell>
          <cell r="S279" t="str">
            <v>Loan Account - Chrisanna</v>
          </cell>
          <cell r="U279">
            <v>0</v>
          </cell>
          <cell r="V279">
            <v>0</v>
          </cell>
          <cell r="W279">
            <v>0</v>
          </cell>
          <cell r="X279">
            <v>-480000</v>
          </cell>
          <cell r="Y279">
            <v>172776.03999999998</v>
          </cell>
          <cell r="Z279">
            <v>174063.41000000003</v>
          </cell>
          <cell r="AA279">
            <v>133160.54999999999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</row>
        <row r="280">
          <cell r="R280" t="str">
            <v>6500/250</v>
          </cell>
          <cell r="S280" t="str">
            <v>Loan Account - Canmaran</v>
          </cell>
          <cell r="U280">
            <v>0</v>
          </cell>
          <cell r="V280">
            <v>0</v>
          </cell>
          <cell r="W280">
            <v>0</v>
          </cell>
          <cell r="X280">
            <v>-2422400</v>
          </cell>
          <cell r="Y280">
            <v>788170</v>
          </cell>
          <cell r="Z280">
            <v>794090.87</v>
          </cell>
          <cell r="AA280">
            <v>840139.13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R281" t="str">
            <v>6500/300</v>
          </cell>
          <cell r="S281" t="str">
            <v>Loan Account - Rob Caldwell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R282" t="str">
            <v>6500/320</v>
          </cell>
          <cell r="S282" t="str">
            <v>Loan - G Paris</v>
          </cell>
          <cell r="U282">
            <v>0</v>
          </cell>
          <cell r="V282">
            <v>0</v>
          </cell>
          <cell r="W282">
            <v>0</v>
          </cell>
          <cell r="X282">
            <v>-237600</v>
          </cell>
          <cell r="Y282">
            <v>-6768.9599999999919</v>
          </cell>
          <cell r="Z282">
            <v>-6766.3600000000151</v>
          </cell>
          <cell r="AA282">
            <v>251135.32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R283" t="str">
            <v>6500/325</v>
          </cell>
          <cell r="S283" t="str">
            <v>Loan - G Paris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</row>
        <row r="284">
          <cell r="R284" t="str">
            <v>6500/330</v>
          </cell>
          <cell r="S284" t="str">
            <v>Loan - A Mohamed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R285" t="str">
            <v>6500/340</v>
          </cell>
          <cell r="S285" t="str">
            <v>Loan Account - T Khambule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</row>
        <row r="286">
          <cell r="R286" t="str">
            <v>6500/345</v>
          </cell>
          <cell r="S286" t="str">
            <v>Loan T Khambule (Interest bear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R287" t="str">
            <v>6500/350</v>
          </cell>
          <cell r="S287" t="str">
            <v>Loan Account - R Smith</v>
          </cell>
          <cell r="U287">
            <v>0</v>
          </cell>
          <cell r="V287">
            <v>0</v>
          </cell>
          <cell r="W287">
            <v>0</v>
          </cell>
          <cell r="X287">
            <v>-120000</v>
          </cell>
          <cell r="Y287">
            <v>120000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</row>
        <row r="288">
          <cell r="R288" t="str">
            <v>6500/355</v>
          </cell>
          <cell r="S288" t="str">
            <v>Loan - R Smith (Interest Beari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R289" t="str">
            <v>6500/360</v>
          </cell>
          <cell r="S289" t="str">
            <v>Loan Account - Khambule trust</v>
          </cell>
          <cell r="U289">
            <v>0</v>
          </cell>
          <cell r="V289">
            <v>0</v>
          </cell>
          <cell r="W289">
            <v>0</v>
          </cell>
          <cell r="X289">
            <v>-220000</v>
          </cell>
          <cell r="Y289">
            <v>149489.58000000002</v>
          </cell>
          <cell r="Z289">
            <v>-499.44999999999709</v>
          </cell>
          <cell r="AA289">
            <v>71009.87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1.4551915228366852E-11</v>
          </cell>
        </row>
        <row r="290">
          <cell r="R290" t="str">
            <v>6500/400</v>
          </cell>
          <cell r="S290" t="str">
            <v>Loan Account - M Abrahams</v>
          </cell>
          <cell r="U290">
            <v>227504.21</v>
          </cell>
          <cell r="V290">
            <v>-2500</v>
          </cell>
          <cell r="W290">
            <v>-50500</v>
          </cell>
          <cell r="X290">
            <v>-42500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7036.8099999999977</v>
          </cell>
          <cell r="AG290">
            <v>139041.01999999999</v>
          </cell>
        </row>
        <row r="291">
          <cell r="R291" t="str">
            <v>6500/405</v>
          </cell>
          <cell r="S291" t="str">
            <v>Loan Account - M Abrahams</v>
          </cell>
          <cell r="U291">
            <v>86497.68</v>
          </cell>
          <cell r="V291">
            <v>-86497.68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R292" t="str">
            <v>6500/420</v>
          </cell>
          <cell r="S292" t="str">
            <v>Loan Account- N Ebrahim</v>
          </cell>
          <cell r="U292">
            <v>93476</v>
          </cell>
          <cell r="V292">
            <v>-3000</v>
          </cell>
          <cell r="W292">
            <v>-90476</v>
          </cell>
          <cell r="X292">
            <v>-80000</v>
          </cell>
          <cell r="Y292">
            <v>80000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</row>
        <row r="293">
          <cell r="R293" t="str">
            <v>6500/430</v>
          </cell>
          <cell r="S293" t="str">
            <v>Loan - A Abrahams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</row>
        <row r="294">
          <cell r="R294" t="str">
            <v>6500/450</v>
          </cell>
          <cell r="S294" t="str">
            <v>Loan Account - CG Rickard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R295" t="str">
            <v>6500/460</v>
          </cell>
          <cell r="S295" t="str">
            <v>Loan - Investec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</row>
        <row r="296">
          <cell r="R296" t="str">
            <v>6500/470</v>
          </cell>
          <cell r="S296" t="str">
            <v>Loan- Insight Plastics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R297" t="str">
            <v>6500/480</v>
          </cell>
          <cell r="S297" t="str">
            <v>Std bank Lease- Defer Interest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R298" t="str">
            <v>6500/500</v>
          </cell>
          <cell r="S298" t="str">
            <v>Loan Account - Rickprop (Pty)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</row>
        <row r="299">
          <cell r="R299" t="str">
            <v>6500/600</v>
          </cell>
          <cell r="S299" t="str">
            <v>Loan Rickprop Gauteng Pty LTD</v>
          </cell>
          <cell r="U299">
            <v>1843732.32</v>
          </cell>
          <cell r="V299">
            <v>-46622.010000000009</v>
          </cell>
          <cell r="W299">
            <v>-41934.170000000158</v>
          </cell>
          <cell r="X299">
            <v>12798.160000000149</v>
          </cell>
          <cell r="Y299">
            <v>12891.479999999981</v>
          </cell>
          <cell r="Z299">
            <v>-27668.870000000112</v>
          </cell>
          <cell r="AA299">
            <v>-48006.520000000019</v>
          </cell>
          <cell r="AB299">
            <v>-63452.819999999832</v>
          </cell>
          <cell r="AC299">
            <v>-8850.5500000000466</v>
          </cell>
          <cell r="AD299">
            <v>11226.100000000093</v>
          </cell>
          <cell r="AE299">
            <v>-99452.970000000205</v>
          </cell>
          <cell r="AF299">
            <v>-39724.209999999963</v>
          </cell>
          <cell r="AG299">
            <v>1504935.94</v>
          </cell>
        </row>
        <row r="300">
          <cell r="R300" t="str">
            <v>6600/100</v>
          </cell>
          <cell r="S300" t="str">
            <v>Investment - LHA Systems</v>
          </cell>
          <cell r="U300">
            <v>2200000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2200000</v>
          </cell>
        </row>
        <row r="301">
          <cell r="R301" t="str">
            <v>6600/200</v>
          </cell>
          <cell r="S301" t="str">
            <v>Investment - Stanlib</v>
          </cell>
          <cell r="U301">
            <v>3728584.95</v>
          </cell>
          <cell r="V301">
            <v>26865.079999999609</v>
          </cell>
          <cell r="W301">
            <v>31222.460000000428</v>
          </cell>
          <cell r="X301">
            <v>30706.85999999987</v>
          </cell>
          <cell r="Y301">
            <v>30341.199999999721</v>
          </cell>
          <cell r="Z301">
            <v>31422.490000000224</v>
          </cell>
          <cell r="AA301">
            <v>33672.819999999832</v>
          </cell>
          <cell r="AB301">
            <v>31312.760000000242</v>
          </cell>
          <cell r="AC301">
            <v>35194.520000000019</v>
          </cell>
          <cell r="AD301">
            <v>31781.739999999758</v>
          </cell>
          <cell r="AE301">
            <v>29373.050000000279</v>
          </cell>
          <cell r="AF301">
            <v>28301.199999999721</v>
          </cell>
          <cell r="AG301">
            <v>4068779.13</v>
          </cell>
        </row>
        <row r="302">
          <cell r="R302" t="str">
            <v>6700/100</v>
          </cell>
          <cell r="S302" t="str">
            <v>Loan Account - Devbor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R303" t="str">
            <v>7000/100</v>
          </cell>
          <cell r="S303" t="str">
            <v>Computers - Cost Price</v>
          </cell>
          <cell r="U303">
            <v>2340623.13</v>
          </cell>
          <cell r="V303">
            <v>28750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-4760</v>
          </cell>
          <cell r="AC303">
            <v>0</v>
          </cell>
          <cell r="AD303">
            <v>0</v>
          </cell>
          <cell r="AE303">
            <v>0</v>
          </cell>
          <cell r="AF303">
            <v>-126199.6799999997</v>
          </cell>
          <cell r="AG303">
            <v>2238413.4500000002</v>
          </cell>
        </row>
        <row r="304">
          <cell r="R304" t="str">
            <v>7000/150</v>
          </cell>
          <cell r="S304" t="str">
            <v>Computers - Depr for Year</v>
          </cell>
          <cell r="U304">
            <v>-2185668.2599999998</v>
          </cell>
          <cell r="V304">
            <v>-9225.820000000298</v>
          </cell>
          <cell r="W304">
            <v>-8639.429999999702</v>
          </cell>
          <cell r="X304">
            <v>-8639.4300000001676</v>
          </cell>
          <cell r="Y304">
            <v>-8639.4300000001676</v>
          </cell>
          <cell r="Z304">
            <v>-8639.429999999702</v>
          </cell>
          <cell r="AA304">
            <v>-8639.4300000001676</v>
          </cell>
          <cell r="AB304">
            <v>2466.5400000000373</v>
          </cell>
          <cell r="AC304">
            <v>-8379.1499999999069</v>
          </cell>
          <cell r="AD304">
            <v>-7845.820000000298</v>
          </cell>
          <cell r="AE304">
            <v>-7590.679999999702</v>
          </cell>
          <cell r="AF304">
            <v>127773.04999999981</v>
          </cell>
          <cell r="AG304">
            <v>-2131667.29</v>
          </cell>
        </row>
        <row r="305">
          <cell r="R305" t="str">
            <v>7000/200</v>
          </cell>
          <cell r="S305" t="str">
            <v>Computers --  Accum. Depr.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R306" t="str">
            <v>7050/100</v>
          </cell>
          <cell r="S306" t="str">
            <v>Designs - Cost Price</v>
          </cell>
          <cell r="U306">
            <v>414151.36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414151.36</v>
          </cell>
        </row>
        <row r="307">
          <cell r="R307" t="str">
            <v>7050/150</v>
          </cell>
          <cell r="S307" t="str">
            <v>Designs - Accum. Depr for Year</v>
          </cell>
          <cell r="U307">
            <v>-156306.99</v>
          </cell>
          <cell r="V307">
            <v>-3451.25</v>
          </cell>
          <cell r="W307">
            <v>-3451.25</v>
          </cell>
          <cell r="X307">
            <v>-3451.25</v>
          </cell>
          <cell r="Y307">
            <v>-3451.25</v>
          </cell>
          <cell r="Z307">
            <v>-3451.25</v>
          </cell>
          <cell r="AA307">
            <v>-3451.25</v>
          </cell>
          <cell r="AB307">
            <v>-3451.25</v>
          </cell>
          <cell r="AC307">
            <v>-3451.25</v>
          </cell>
          <cell r="AD307">
            <v>-3451.25</v>
          </cell>
          <cell r="AE307">
            <v>-3451.25</v>
          </cell>
          <cell r="AF307">
            <v>-3451.390000000014</v>
          </cell>
          <cell r="AG307">
            <v>-194270.88</v>
          </cell>
        </row>
        <row r="308">
          <cell r="R308" t="str">
            <v>7050/200</v>
          </cell>
          <cell r="S308" t="str">
            <v>Designs - Accum. Depr.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R309" t="str">
            <v>7100/100</v>
          </cell>
          <cell r="S309" t="str">
            <v>Furn. &amp; Fitt. - Cost Price</v>
          </cell>
          <cell r="U309">
            <v>1375064.78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1375064.78</v>
          </cell>
        </row>
        <row r="310">
          <cell r="R310" t="str">
            <v>7100/150</v>
          </cell>
          <cell r="S310" t="str">
            <v>Furn. &amp; Fitt. -  Depr for Year</v>
          </cell>
          <cell r="U310">
            <v>-1222512.8799999999</v>
          </cell>
          <cell r="V310">
            <v>-4434.5700000000652</v>
          </cell>
          <cell r="W310">
            <v>-4332.5700000000652</v>
          </cell>
          <cell r="X310">
            <v>-4332.5700000000652</v>
          </cell>
          <cell r="Y310">
            <v>-4332.5699999998324</v>
          </cell>
          <cell r="Z310">
            <v>-4332.5700000000652</v>
          </cell>
          <cell r="AA310">
            <v>-4332.5700000000652</v>
          </cell>
          <cell r="AB310">
            <v>-4332.5700000000652</v>
          </cell>
          <cell r="AC310">
            <v>-4332.5699999998324</v>
          </cell>
          <cell r="AD310">
            <v>-4332.5700000000652</v>
          </cell>
          <cell r="AE310">
            <v>-4332.5700000000652</v>
          </cell>
          <cell r="AF310">
            <v>-4332.339999999851</v>
          </cell>
          <cell r="AG310">
            <v>-1270272.92</v>
          </cell>
        </row>
        <row r="311">
          <cell r="R311" t="str">
            <v>7100/200</v>
          </cell>
          <cell r="S311" t="str">
            <v>Furn. &amp; Fitt. - Accum. Depr.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</row>
        <row r="312">
          <cell r="R312" t="str">
            <v>7150/100</v>
          </cell>
          <cell r="S312" t="str">
            <v>Plant &amp; Equip.- Cost Price</v>
          </cell>
          <cell r="U312">
            <v>14507545</v>
          </cell>
          <cell r="V312">
            <v>0</v>
          </cell>
          <cell r="W312">
            <v>0</v>
          </cell>
          <cell r="X312">
            <v>0</v>
          </cell>
          <cell r="Y312">
            <v>24202.349999999627</v>
          </cell>
          <cell r="Z312">
            <v>0</v>
          </cell>
          <cell r="AA312">
            <v>0</v>
          </cell>
          <cell r="AB312">
            <v>0</v>
          </cell>
          <cell r="AC312">
            <v>22920.259999999776</v>
          </cell>
          <cell r="AD312">
            <v>0</v>
          </cell>
          <cell r="AE312">
            <v>0</v>
          </cell>
          <cell r="AF312">
            <v>-10056.199999999255</v>
          </cell>
          <cell r="AG312">
            <v>14544611.41</v>
          </cell>
        </row>
        <row r="313">
          <cell r="R313" t="str">
            <v>7150/150</v>
          </cell>
          <cell r="S313" t="str">
            <v>Plant &amp; Equip.- Depr for Year</v>
          </cell>
          <cell r="U313">
            <v>-11999359.83</v>
          </cell>
          <cell r="V313">
            <v>-46626.839999999851</v>
          </cell>
          <cell r="W313">
            <v>-44468.660000000149</v>
          </cell>
          <cell r="X313">
            <v>-44468.660000000149</v>
          </cell>
          <cell r="Y313">
            <v>-44872.029999999329</v>
          </cell>
          <cell r="Z313">
            <v>-44872.030000001192</v>
          </cell>
          <cell r="AA313">
            <v>-44872.029999999329</v>
          </cell>
          <cell r="AB313">
            <v>-44872.029999999329</v>
          </cell>
          <cell r="AC313">
            <v>-45254.030000001192</v>
          </cell>
          <cell r="AD313">
            <v>-44616.949999999255</v>
          </cell>
          <cell r="AE313">
            <v>-44616.949999999255</v>
          </cell>
          <cell r="AF313">
            <v>-34560.950000001118</v>
          </cell>
          <cell r="AG313">
            <v>-12483460.99</v>
          </cell>
        </row>
        <row r="314">
          <cell r="R314" t="str">
            <v>7150/200</v>
          </cell>
          <cell r="S314" t="str">
            <v>Plant &amp; Equip.- Accum. Depr.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R315" t="str">
            <v>7175/100</v>
          </cell>
          <cell r="S315" t="str">
            <v>Office Equip - Cost Price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R316" t="str">
            <v>7175/150</v>
          </cell>
          <cell r="S316" t="str">
            <v>Office Equip - Depr for Year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R317" t="str">
            <v>7175/200</v>
          </cell>
          <cell r="S317" t="str">
            <v>Office Equip - Acc Depr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R318" t="str">
            <v>7200/100</v>
          </cell>
          <cell r="S318" t="str">
            <v>Vehicles - Cost Price</v>
          </cell>
          <cell r="U318">
            <v>1489251.26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1489251.26</v>
          </cell>
        </row>
        <row r="319">
          <cell r="R319" t="str">
            <v>7200/150</v>
          </cell>
          <cell r="S319" t="str">
            <v>Vehicles - Depr for Year</v>
          </cell>
          <cell r="U319">
            <v>-1204890.98</v>
          </cell>
          <cell r="V319">
            <v>-3735.0500000000466</v>
          </cell>
          <cell r="W319">
            <v>-3735.0500000000466</v>
          </cell>
          <cell r="X319">
            <v>-3735.0499999998137</v>
          </cell>
          <cell r="Y319">
            <v>-3735.0500000000466</v>
          </cell>
          <cell r="Z319">
            <v>-3735.0500000000466</v>
          </cell>
          <cell r="AA319">
            <v>-3735.0500000000466</v>
          </cell>
          <cell r="AB319">
            <v>-3735.0500000000466</v>
          </cell>
          <cell r="AC319">
            <v>-3735.0499999998137</v>
          </cell>
          <cell r="AD319">
            <v>-3735.0500000000466</v>
          </cell>
          <cell r="AE319">
            <v>-3735.0500000000466</v>
          </cell>
          <cell r="AF319">
            <v>-3735</v>
          </cell>
          <cell r="AG319">
            <v>-1245976.48</v>
          </cell>
        </row>
        <row r="320">
          <cell r="R320" t="str">
            <v>7200/200</v>
          </cell>
          <cell r="S320" t="str">
            <v>Vehicle - Accum. Depr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R321" t="str">
            <v>7275/100</v>
          </cell>
          <cell r="S321" t="str">
            <v>Vehicles - Cost Price</v>
          </cell>
          <cell r="U321">
            <v>1162797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1162797</v>
          </cell>
        </row>
        <row r="322">
          <cell r="R322" t="str">
            <v>7275/150</v>
          </cell>
          <cell r="S322" t="str">
            <v>Vehicles - Depr for Year</v>
          </cell>
          <cell r="U322">
            <v>-348839.1</v>
          </cell>
          <cell r="V322">
            <v>-19379.950000000012</v>
          </cell>
          <cell r="W322">
            <v>-19379.950000000012</v>
          </cell>
          <cell r="X322">
            <v>-19379.950000000012</v>
          </cell>
          <cell r="Y322">
            <v>-19379.950000000012</v>
          </cell>
          <cell r="Z322">
            <v>-19379.949999999953</v>
          </cell>
          <cell r="AA322">
            <v>-19379.950000000012</v>
          </cell>
          <cell r="AB322">
            <v>-19379.950000000012</v>
          </cell>
          <cell r="AC322">
            <v>-19379.950000000012</v>
          </cell>
          <cell r="AD322">
            <v>-19379.950000000012</v>
          </cell>
          <cell r="AE322">
            <v>-19379.949999999953</v>
          </cell>
          <cell r="AF322">
            <v>-19379.95000000007</v>
          </cell>
          <cell r="AG322">
            <v>-562018.55000000005</v>
          </cell>
        </row>
        <row r="323">
          <cell r="R323" t="str">
            <v>7275/200</v>
          </cell>
          <cell r="S323" t="str">
            <v>Vehicle - Accum. Depr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R324" t="str">
            <v>7250/100</v>
          </cell>
          <cell r="S324" t="str">
            <v>Building - Cost Price</v>
          </cell>
          <cell r="U324">
            <v>17802522.530000001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40910.869999997318</v>
          </cell>
          <cell r="AG324">
            <v>17843433.399999999</v>
          </cell>
        </row>
        <row r="325">
          <cell r="R325" t="str">
            <v>7250/200</v>
          </cell>
          <cell r="S325" t="str">
            <v>New Building - Cost Price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</row>
        <row r="326">
          <cell r="R326" t="str">
            <v>7300/100</v>
          </cell>
          <cell r="S326" t="str">
            <v>Patents - Cost Price</v>
          </cell>
          <cell r="U326">
            <v>620381.51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620381.51</v>
          </cell>
        </row>
        <row r="327">
          <cell r="R327" t="str">
            <v>7300/150</v>
          </cell>
          <cell r="S327" t="str">
            <v>Patents - Depr for Year</v>
          </cell>
          <cell r="U327">
            <v>-364987.85</v>
          </cell>
          <cell r="V327">
            <v>-2584.9100000000326</v>
          </cell>
          <cell r="W327">
            <v>-2584.9099999999744</v>
          </cell>
          <cell r="X327">
            <v>-2584.9100000000326</v>
          </cell>
          <cell r="Y327">
            <v>-2584.9099999999744</v>
          </cell>
          <cell r="Z327">
            <v>-2584.9100000000326</v>
          </cell>
          <cell r="AA327">
            <v>-2584.9099999999744</v>
          </cell>
          <cell r="AB327">
            <v>-2492.8800000000047</v>
          </cell>
          <cell r="AC327">
            <v>-2397.179999999993</v>
          </cell>
          <cell r="AD327">
            <v>-2397.179999999993</v>
          </cell>
          <cell r="AE327">
            <v>-2397.179999999993</v>
          </cell>
          <cell r="AF327">
            <v>-2397.320000000007</v>
          </cell>
          <cell r="AG327">
            <v>-392579.05</v>
          </cell>
        </row>
        <row r="328">
          <cell r="R328" t="str">
            <v>7300/200</v>
          </cell>
          <cell r="S328" t="str">
            <v>Patents - Accum. Depr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</row>
        <row r="329">
          <cell r="R329" t="str">
            <v>7350/100</v>
          </cell>
          <cell r="S329" t="str">
            <v>Tools - Cost Price</v>
          </cell>
          <cell r="U329">
            <v>6920596.1100000003</v>
          </cell>
          <cell r="V329">
            <v>100815</v>
          </cell>
          <cell r="W329">
            <v>0</v>
          </cell>
          <cell r="X329">
            <v>0</v>
          </cell>
          <cell r="Y329">
            <v>0</v>
          </cell>
          <cell r="Z329">
            <v>195416</v>
          </cell>
          <cell r="AA329">
            <v>80177.330000000075</v>
          </cell>
          <cell r="AB329">
            <v>69705</v>
          </cell>
          <cell r="AC329">
            <v>0</v>
          </cell>
          <cell r="AD329">
            <v>0</v>
          </cell>
          <cell r="AE329">
            <v>28917.5</v>
          </cell>
          <cell r="AF329">
            <v>-157078.11000000034</v>
          </cell>
          <cell r="AG329">
            <v>7238548.8300000001</v>
          </cell>
        </row>
        <row r="330">
          <cell r="R330" t="str">
            <v>7350/150</v>
          </cell>
          <cell r="S330" t="str">
            <v>Tools - Depr for Year</v>
          </cell>
          <cell r="U330">
            <v>-6288985.4100000001</v>
          </cell>
          <cell r="V330">
            <v>-16073.649999999441</v>
          </cell>
          <cell r="W330">
            <v>-16073.650000000373</v>
          </cell>
          <cell r="X330">
            <v>-16073.650000000373</v>
          </cell>
          <cell r="Y330">
            <v>-16073.649999999441</v>
          </cell>
          <cell r="Z330">
            <v>-19167.740000000224</v>
          </cell>
          <cell r="AA330">
            <v>-20219.839999999851</v>
          </cell>
          <cell r="AB330">
            <v>-21207.330000000075</v>
          </cell>
          <cell r="AC330">
            <v>-21207.330000000075</v>
          </cell>
          <cell r="AD330">
            <v>-21040.679999999702</v>
          </cell>
          <cell r="AE330">
            <v>-21450.339999999851</v>
          </cell>
          <cell r="AF330">
            <v>136774.53999999911</v>
          </cell>
          <cell r="AG330">
            <v>-6340798.7300000004</v>
          </cell>
        </row>
        <row r="331">
          <cell r="R331" t="str">
            <v>7350/200</v>
          </cell>
          <cell r="S331" t="str">
            <v>Tools - Accum. Depr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</row>
        <row r="332">
          <cell r="R332" t="str">
            <v>7350/300</v>
          </cell>
          <cell r="S332" t="str">
            <v>Lease Hold - Improvements</v>
          </cell>
          <cell r="U332">
            <v>154308.67000000001</v>
          </cell>
          <cell r="V332">
            <v>9641.75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163950.42000000001</v>
          </cell>
        </row>
        <row r="333">
          <cell r="R333" t="str">
            <v>7350/400</v>
          </cell>
          <cell r="S333" t="str">
            <v>Leasehold - Accum. Depr</v>
          </cell>
          <cell r="U333">
            <v>-134053.85999999999</v>
          </cell>
          <cell r="V333">
            <v>-522.39000000001397</v>
          </cell>
          <cell r="W333">
            <v>-522.39000000001397</v>
          </cell>
          <cell r="X333">
            <v>-522.38999999998487</v>
          </cell>
          <cell r="Y333">
            <v>-522.39000000001397</v>
          </cell>
          <cell r="Z333">
            <v>-522.38999999998487</v>
          </cell>
          <cell r="AA333">
            <v>-522.39000000001397</v>
          </cell>
          <cell r="AB333">
            <v>-522.38999999998487</v>
          </cell>
          <cell r="AC333">
            <v>-522.39000000001397</v>
          </cell>
          <cell r="AD333">
            <v>-522.38999999998487</v>
          </cell>
          <cell r="AE333">
            <v>-522.39000000001397</v>
          </cell>
          <cell r="AF333">
            <v>-522.38000000000466</v>
          </cell>
          <cell r="AG333">
            <v>-139800.14000000001</v>
          </cell>
        </row>
        <row r="334">
          <cell r="R334" t="str">
            <v>7400/000</v>
          </cell>
          <cell r="S334" t="str">
            <v>Fixed Assets - WIP</v>
          </cell>
          <cell r="U334">
            <v>329649.87</v>
          </cell>
          <cell r="V334">
            <v>-44168.630000000005</v>
          </cell>
          <cell r="W334">
            <v>0</v>
          </cell>
          <cell r="X334">
            <v>60282.729999999981</v>
          </cell>
          <cell r="Y334">
            <v>-20202.349999999977</v>
          </cell>
          <cell r="Z334">
            <v>-217233.9</v>
          </cell>
          <cell r="AA334">
            <v>-26842</v>
          </cell>
          <cell r="AB334">
            <v>-25899.520000000004</v>
          </cell>
          <cell r="AC334">
            <v>-14180.86</v>
          </cell>
          <cell r="AD334">
            <v>0</v>
          </cell>
          <cell r="AE334">
            <v>11402.710000000006</v>
          </cell>
          <cell r="AF334">
            <v>-11402.710000000006</v>
          </cell>
          <cell r="AG334">
            <v>41405.339999999997</v>
          </cell>
        </row>
        <row r="335">
          <cell r="R335" t="str">
            <v>7400/100</v>
          </cell>
          <cell r="S335" t="str">
            <v>Insurance Disposals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</row>
        <row r="336">
          <cell r="R336" t="str">
            <v>7450/100</v>
          </cell>
          <cell r="S336" t="str">
            <v>Loan Account - RADUS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</row>
        <row r="337">
          <cell r="R337" t="str">
            <v>7450/150</v>
          </cell>
          <cell r="S337" t="str">
            <v>Loan Account - RADUS(EXP Carri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R338" t="str">
            <v>7480/100</v>
          </cell>
          <cell r="S338" t="str">
            <v>Investment - RADUS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</row>
        <row r="339">
          <cell r="R339" t="str">
            <v>7500/100</v>
          </cell>
          <cell r="S339" t="str">
            <v>Inventory - Lansdowne</v>
          </cell>
          <cell r="U339">
            <v>16014230.960000001</v>
          </cell>
          <cell r="V339">
            <v>78992.979999998584</v>
          </cell>
          <cell r="W339">
            <v>20755.780000001192</v>
          </cell>
          <cell r="X339">
            <v>1575398.6099999975</v>
          </cell>
          <cell r="Y339">
            <v>434611.92000000179</v>
          </cell>
          <cell r="Z339">
            <v>-2398097.2100000009</v>
          </cell>
          <cell r="AA339">
            <v>648486.95000000112</v>
          </cell>
          <cell r="AB339">
            <v>846855.52000000142</v>
          </cell>
          <cell r="AC339">
            <v>266177.53999999911</v>
          </cell>
          <cell r="AD339">
            <v>201482.00999999791</v>
          </cell>
          <cell r="AE339">
            <v>-191081.25</v>
          </cell>
          <cell r="AF339">
            <v>-1072733.7399999984</v>
          </cell>
          <cell r="AG339">
            <v>16425080.07</v>
          </cell>
        </row>
        <row r="340">
          <cell r="R340" t="str">
            <v>7500/125</v>
          </cell>
          <cell r="S340" t="str">
            <v>Inventory - Ottery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</row>
        <row r="341">
          <cell r="R341" t="str">
            <v>7500/150</v>
          </cell>
          <cell r="S341" t="str">
            <v>Inventory - PTA</v>
          </cell>
          <cell r="U341">
            <v>3361065.28</v>
          </cell>
          <cell r="V341">
            <v>-496093.29999999981</v>
          </cell>
          <cell r="W341">
            <v>-242151.95999999996</v>
          </cell>
          <cell r="X341">
            <v>-261492.83000000007</v>
          </cell>
          <cell r="Y341">
            <v>202728.74000000022</v>
          </cell>
          <cell r="Z341">
            <v>-442757.54000000004</v>
          </cell>
          <cell r="AA341">
            <v>319375.43999999994</v>
          </cell>
          <cell r="AB341">
            <v>43214.569999999832</v>
          </cell>
          <cell r="AC341">
            <v>-108232.04000000004</v>
          </cell>
          <cell r="AD341">
            <v>249630.72999999998</v>
          </cell>
          <cell r="AE341">
            <v>87827.400000000373</v>
          </cell>
          <cell r="AF341">
            <v>12806.819999999832</v>
          </cell>
          <cell r="AG341">
            <v>2725921.31</v>
          </cell>
        </row>
        <row r="342">
          <cell r="R342" t="str">
            <v>7500/200</v>
          </cell>
          <cell r="S342" t="str">
            <v>Inventory - DBN</v>
          </cell>
          <cell r="U342">
            <v>287011.48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-52443.999999999971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88121.50999999998</v>
          </cell>
          <cell r="AG342">
            <v>322688.99</v>
          </cell>
        </row>
        <row r="343">
          <cell r="R343" t="str">
            <v>7500/250</v>
          </cell>
          <cell r="S343" t="str">
            <v>Inventory - PE</v>
          </cell>
          <cell r="U343">
            <v>153599.79999999999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-31776.999999999985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3835.4700000000012</v>
          </cell>
          <cell r="AG343">
            <v>125658.27</v>
          </cell>
        </row>
        <row r="344">
          <cell r="R344" t="str">
            <v>7500/260</v>
          </cell>
          <cell r="S344" t="str">
            <v>Inventory - Bloemfontein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</row>
        <row r="345">
          <cell r="R345" t="str">
            <v>7500/280</v>
          </cell>
          <cell r="S345" t="str">
            <v>Inventory - Floorstock</v>
          </cell>
          <cell r="U345">
            <v>175629.33</v>
          </cell>
          <cell r="V345">
            <v>7811</v>
          </cell>
          <cell r="W345">
            <v>-47327.81</v>
          </cell>
          <cell r="X345">
            <v>48488.380000000005</v>
          </cell>
          <cell r="Y345">
            <v>-50125.97</v>
          </cell>
          <cell r="Z345">
            <v>36033.100000000006</v>
          </cell>
          <cell r="AA345">
            <v>-26447.059999999998</v>
          </cell>
          <cell r="AB345">
            <v>6168.3099999999977</v>
          </cell>
          <cell r="AC345">
            <v>36815.72</v>
          </cell>
          <cell r="AD345">
            <v>-153198.35999999999</v>
          </cell>
          <cell r="AE345">
            <v>180489.47999999998</v>
          </cell>
          <cell r="AF345">
            <v>-39888.630000000005</v>
          </cell>
          <cell r="AG345">
            <v>174447.49</v>
          </cell>
        </row>
        <row r="346">
          <cell r="R346" t="str">
            <v>7500/290</v>
          </cell>
          <cell r="S346" t="str">
            <v>Inventory - At Suppliers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</row>
        <row r="347">
          <cell r="R347" t="str">
            <v>7500/295</v>
          </cell>
          <cell r="S347" t="str">
            <v>Inventory - Consumables</v>
          </cell>
          <cell r="U347">
            <v>13581.03</v>
          </cell>
          <cell r="V347">
            <v>430.48999999999978</v>
          </cell>
          <cell r="W347">
            <v>-1327.3100000000013</v>
          </cell>
          <cell r="X347">
            <v>238.48000000000138</v>
          </cell>
          <cell r="Y347">
            <v>2128.91</v>
          </cell>
          <cell r="Z347">
            <v>-4748.5500000000011</v>
          </cell>
          <cell r="AA347">
            <v>2825.4300000000003</v>
          </cell>
          <cell r="AB347">
            <v>2409.2900000000009</v>
          </cell>
          <cell r="AC347">
            <v>2621.9300000000003</v>
          </cell>
          <cell r="AD347">
            <v>2519.84</v>
          </cell>
          <cell r="AE347">
            <v>20.319999999999709</v>
          </cell>
          <cell r="AF347">
            <v>-5640.32</v>
          </cell>
          <cell r="AG347">
            <v>15059.54</v>
          </cell>
        </row>
        <row r="348">
          <cell r="R348" t="str">
            <v>7500/300</v>
          </cell>
          <cell r="S348" t="str">
            <v>Work in Progress</v>
          </cell>
          <cell r="U348">
            <v>2779181.07</v>
          </cell>
          <cell r="V348">
            <v>382125.30000000028</v>
          </cell>
          <cell r="W348">
            <v>440371.29999999981</v>
          </cell>
          <cell r="X348">
            <v>-105274.62000000011</v>
          </cell>
          <cell r="Y348">
            <v>-57868.099999999627</v>
          </cell>
          <cell r="Z348">
            <v>-526372.9700000002</v>
          </cell>
          <cell r="AA348">
            <v>68081.120000000112</v>
          </cell>
          <cell r="AB348">
            <v>950580.25999999978</v>
          </cell>
          <cell r="AC348">
            <v>-125642.31000000006</v>
          </cell>
          <cell r="AD348">
            <v>-499264.07999999961</v>
          </cell>
          <cell r="AE348">
            <v>65376.829999999609</v>
          </cell>
          <cell r="AF348">
            <v>-789406.35999999987</v>
          </cell>
          <cell r="AG348">
            <v>2581887.44</v>
          </cell>
        </row>
        <row r="349">
          <cell r="R349" t="str">
            <v>7500/305</v>
          </cell>
          <cell r="S349" t="str">
            <v>Work In Progress - Pretoria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</row>
        <row r="350">
          <cell r="R350" t="str">
            <v>7500/310</v>
          </cell>
          <cell r="S350" t="str">
            <v>WIP - Variance Control</v>
          </cell>
          <cell r="U350">
            <v>-7259.5</v>
          </cell>
          <cell r="V350">
            <v>7259.5</v>
          </cell>
          <cell r="W350">
            <v>129.74</v>
          </cell>
          <cell r="X350">
            <v>-975.49</v>
          </cell>
          <cell r="Y350">
            <v>-1611.88</v>
          </cell>
          <cell r="Z350">
            <v>2457.63</v>
          </cell>
          <cell r="AA350">
            <v>24.65</v>
          </cell>
          <cell r="AB350">
            <v>-24.65</v>
          </cell>
          <cell r="AC350">
            <v>0</v>
          </cell>
          <cell r="AD350">
            <v>-105.38</v>
          </cell>
          <cell r="AE350">
            <v>-793.84</v>
          </cell>
          <cell r="AF350">
            <v>899.22</v>
          </cell>
          <cell r="AG350">
            <v>0</v>
          </cell>
        </row>
        <row r="351">
          <cell r="R351" t="str">
            <v>7500/325</v>
          </cell>
          <cell r="S351" t="str">
            <v>Wip - Ottery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</row>
        <row r="352">
          <cell r="R352" t="str">
            <v>7500/350</v>
          </cell>
          <cell r="S352" t="str">
            <v>Goods in Transit</v>
          </cell>
          <cell r="U352">
            <v>0</v>
          </cell>
          <cell r="V352">
            <v>22230.51</v>
          </cell>
          <cell r="W352">
            <v>76690.540000000008</v>
          </cell>
          <cell r="X352">
            <v>-98921.040000000008</v>
          </cell>
          <cell r="Y352">
            <v>-0.01</v>
          </cell>
          <cell r="Z352">
            <v>0.01</v>
          </cell>
          <cell r="AA352">
            <v>35275.25</v>
          </cell>
          <cell r="AB352">
            <v>-32647.72</v>
          </cell>
          <cell r="AC352">
            <v>381524.61000000004</v>
          </cell>
          <cell r="AD352">
            <v>-384152.15</v>
          </cell>
          <cell r="AE352">
            <v>-0.01</v>
          </cell>
          <cell r="AF352">
            <v>0.01</v>
          </cell>
          <cell r="AG352">
            <v>0</v>
          </cell>
        </row>
        <row r="353">
          <cell r="R353" t="str">
            <v>7500/375</v>
          </cell>
          <cell r="S353" t="str">
            <v>GIT - Ottery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</row>
        <row r="354">
          <cell r="R354" t="str">
            <v>7500/400</v>
          </cell>
          <cell r="S354" t="str">
            <v>Dispatched/Not Invoiced</v>
          </cell>
          <cell r="U354">
            <v>1180447.49</v>
          </cell>
          <cell r="V354">
            <v>-263262.88</v>
          </cell>
          <cell r="W354">
            <v>-137243.82999999996</v>
          </cell>
          <cell r="X354">
            <v>-250878.99</v>
          </cell>
          <cell r="Y354">
            <v>120161.97999999998</v>
          </cell>
          <cell r="Z354">
            <v>1052550.6499999999</v>
          </cell>
          <cell r="AA354">
            <v>-599534.76</v>
          </cell>
          <cell r="AB354">
            <v>132240.95000000019</v>
          </cell>
          <cell r="AC354">
            <v>-788534.02</v>
          </cell>
          <cell r="AD354">
            <v>-80884.080000000016</v>
          </cell>
          <cell r="AE354">
            <v>107754.02000000002</v>
          </cell>
          <cell r="AF354">
            <v>-87857.590000000026</v>
          </cell>
          <cell r="AG354">
            <v>384958.94000000006</v>
          </cell>
        </row>
        <row r="355">
          <cell r="R355" t="str">
            <v>7500/420</v>
          </cell>
          <cell r="S355" t="str">
            <v>Inventory - Stock Dispatch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</row>
        <row r="356">
          <cell r="R356" t="str">
            <v>7500/450</v>
          </cell>
          <cell r="S356" t="str">
            <v>Non Stock Control</v>
          </cell>
          <cell r="U356">
            <v>-231164.22</v>
          </cell>
          <cell r="V356">
            <v>-274122.67000000004</v>
          </cell>
          <cell r="W356">
            <v>-457658.83999999997</v>
          </cell>
          <cell r="X356">
            <v>-11758.570000000065</v>
          </cell>
          <cell r="Y356">
            <v>-183921.41999999993</v>
          </cell>
          <cell r="Z356">
            <v>1158625.7</v>
          </cell>
          <cell r="AA356">
            <v>-691974.24</v>
          </cell>
          <cell r="AB356">
            <v>-615546.58000000007</v>
          </cell>
          <cell r="AC356">
            <v>-545594.60999999987</v>
          </cell>
          <cell r="AD356">
            <v>-965410.23000000021</v>
          </cell>
          <cell r="AE356">
            <v>641782.38000000035</v>
          </cell>
          <cell r="AF356">
            <v>2176743.2999999998</v>
          </cell>
          <cell r="AG356">
            <v>0</v>
          </cell>
        </row>
        <row r="357">
          <cell r="R357" t="str">
            <v>7500/499</v>
          </cell>
          <cell r="S357" t="str">
            <v>Inventory - Obsolete/Slow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</row>
        <row r="358">
          <cell r="R358" t="str">
            <v>7500/500</v>
          </cell>
          <cell r="S358" t="str">
            <v>Inventory - Suppliers</v>
          </cell>
          <cell r="U358">
            <v>144475.12</v>
          </cell>
          <cell r="V358">
            <v>51192.770000000019</v>
          </cell>
          <cell r="W358">
            <v>-28213.800000000017</v>
          </cell>
          <cell r="X358">
            <v>94965.35</v>
          </cell>
          <cell r="Y358">
            <v>140395.79999999999</v>
          </cell>
          <cell r="Z358">
            <v>-34758.049999999988</v>
          </cell>
          <cell r="AA358">
            <v>121156.71000000002</v>
          </cell>
          <cell r="AB358">
            <v>-136889.86000000004</v>
          </cell>
          <cell r="AC358">
            <v>49360.100000000035</v>
          </cell>
          <cell r="AD358">
            <v>11071.149999999965</v>
          </cell>
          <cell r="AE358">
            <v>204346.94</v>
          </cell>
          <cell r="AF358">
            <v>-524430.34</v>
          </cell>
          <cell r="AG358">
            <v>92671.890000000014</v>
          </cell>
        </row>
        <row r="359">
          <cell r="R359" t="str">
            <v>7700/100</v>
          </cell>
          <cell r="S359" t="str">
            <v>Bank - Std Bank Current</v>
          </cell>
          <cell r="U359">
            <v>2172971.21</v>
          </cell>
          <cell r="V359">
            <v>314726.56000000006</v>
          </cell>
          <cell r="W359">
            <v>1987643.0900000003</v>
          </cell>
          <cell r="X359">
            <v>1716339.3199999994</v>
          </cell>
          <cell r="Y359">
            <v>-1029223.4499999993</v>
          </cell>
          <cell r="Z359">
            <v>-1938145.1800000006</v>
          </cell>
          <cell r="AA359">
            <v>1825782.7199999997</v>
          </cell>
          <cell r="AB359">
            <v>-56684.549999999814</v>
          </cell>
          <cell r="AC359">
            <v>-507145.30999999959</v>
          </cell>
          <cell r="AD359">
            <v>2881674.59</v>
          </cell>
          <cell r="AE359">
            <v>-4333520.4399999995</v>
          </cell>
          <cell r="AF359">
            <v>-739982.16000000015</v>
          </cell>
          <cell r="AG359">
            <v>2294436.4000000004</v>
          </cell>
        </row>
        <row r="360">
          <cell r="R360" t="str">
            <v>7700/150</v>
          </cell>
          <cell r="S360" t="str">
            <v>Bank - Do not use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R361" t="str">
            <v>7700/200</v>
          </cell>
          <cell r="S361" t="str">
            <v>Bank - Salary Account</v>
          </cell>
          <cell r="U361">
            <v>3095.5</v>
          </cell>
          <cell r="V361">
            <v>-660.34999999999991</v>
          </cell>
          <cell r="W361">
            <v>-791.21</v>
          </cell>
          <cell r="X361">
            <v>1962.8600000000001</v>
          </cell>
          <cell r="Y361">
            <v>-1817.38</v>
          </cell>
          <cell r="Z361">
            <v>302.23999999999978</v>
          </cell>
          <cell r="AA361">
            <v>-311.12999999999988</v>
          </cell>
          <cell r="AB361">
            <v>-550.99</v>
          </cell>
          <cell r="AC361">
            <v>38.660000000000082</v>
          </cell>
          <cell r="AD361">
            <v>459.84999999999991</v>
          </cell>
          <cell r="AE361">
            <v>238.81999999999994</v>
          </cell>
          <cell r="AF361">
            <v>-340.12999999999988</v>
          </cell>
          <cell r="AG361">
            <v>1626.74</v>
          </cell>
        </row>
        <row r="362">
          <cell r="R362" t="str">
            <v>7700/250</v>
          </cell>
          <cell r="S362" t="str">
            <v>Standard Bank - CFC</v>
          </cell>
          <cell r="U362">
            <v>4485179.2</v>
          </cell>
          <cell r="V362">
            <v>-4171715.5900000003</v>
          </cell>
          <cell r="W362">
            <v>1661876.0699999998</v>
          </cell>
          <cell r="X362">
            <v>-128123.17999999993</v>
          </cell>
          <cell r="Y362">
            <v>2868464.1399999997</v>
          </cell>
          <cell r="Z362">
            <v>-1982342.3199999998</v>
          </cell>
          <cell r="AA362">
            <v>129416.91000000015</v>
          </cell>
          <cell r="AB362">
            <v>-372028.54999999981</v>
          </cell>
          <cell r="AC362">
            <v>-1111101.4500000002</v>
          </cell>
          <cell r="AD362">
            <v>1797100.87</v>
          </cell>
          <cell r="AE362">
            <v>-610419.85999999987</v>
          </cell>
          <cell r="AF362">
            <v>-350269.11000000034</v>
          </cell>
          <cell r="AG362">
            <v>2216037.13</v>
          </cell>
        </row>
        <row r="363">
          <cell r="R363" t="str">
            <v>7700/300</v>
          </cell>
          <cell r="S363" t="str">
            <v>Petty Cash - Pretoria</v>
          </cell>
          <cell r="U363">
            <v>2594.1999999999998</v>
          </cell>
          <cell r="V363">
            <v>-2534</v>
          </cell>
          <cell r="W363">
            <v>751.19999999999993</v>
          </cell>
          <cell r="X363">
            <v>-329.2</v>
          </cell>
          <cell r="Y363">
            <v>-165</v>
          </cell>
          <cell r="Z363">
            <v>1330.3</v>
          </cell>
          <cell r="AA363">
            <v>-783.2</v>
          </cell>
          <cell r="AB363">
            <v>-858.69999999999993</v>
          </cell>
          <cell r="AC363">
            <v>0</v>
          </cell>
          <cell r="AD363">
            <v>318.5</v>
          </cell>
          <cell r="AE363">
            <v>-289.8</v>
          </cell>
          <cell r="AF363">
            <v>89.600000000000009</v>
          </cell>
          <cell r="AG363">
            <v>123.89999999999979</v>
          </cell>
        </row>
        <row r="364">
          <cell r="R364" t="str">
            <v>7700/400</v>
          </cell>
          <cell r="S364" t="str">
            <v>Bank - Call Account</v>
          </cell>
          <cell r="U364">
            <v>11612670.25</v>
          </cell>
          <cell r="V364">
            <v>70948.640000000596</v>
          </cell>
          <cell r="W364">
            <v>72649.699999999255</v>
          </cell>
          <cell r="X364">
            <v>70257.390000000596</v>
          </cell>
          <cell r="Y364">
            <v>72125.609999999404</v>
          </cell>
          <cell r="Z364">
            <v>71085.480000000447</v>
          </cell>
          <cell r="AA364">
            <v>68220.939999999478</v>
          </cell>
          <cell r="AB364">
            <v>70100.490000000224</v>
          </cell>
          <cell r="AC364">
            <v>67705.609999999404</v>
          </cell>
          <cell r="AD364">
            <v>69898.890000000596</v>
          </cell>
          <cell r="AE364">
            <v>68948.11999999918</v>
          </cell>
          <cell r="AF364">
            <v>62136.490000000224</v>
          </cell>
          <cell r="AG364">
            <v>12376747.609999999</v>
          </cell>
        </row>
        <row r="365">
          <cell r="R365" t="str">
            <v>7700/450</v>
          </cell>
          <cell r="S365" t="str">
            <v>Bank - Call Account Money Mkt</v>
          </cell>
          <cell r="U365">
            <v>3744633.98</v>
          </cell>
          <cell r="V365">
            <v>3574805.7399999998</v>
          </cell>
          <cell r="W365">
            <v>-3440759.11</v>
          </cell>
          <cell r="X365">
            <v>2776665.4200000004</v>
          </cell>
          <cell r="Y365">
            <v>1093257.9500000002</v>
          </cell>
          <cell r="Z365">
            <v>4047000</v>
          </cell>
          <cell r="AA365">
            <v>-2918314</v>
          </cell>
          <cell r="AB365">
            <v>4343497.8899999987</v>
          </cell>
          <cell r="AC365">
            <v>2262000</v>
          </cell>
          <cell r="AD365">
            <v>-3208977.26</v>
          </cell>
          <cell r="AE365">
            <v>5124518.57</v>
          </cell>
          <cell r="AF365">
            <v>-2370746.0499999989</v>
          </cell>
          <cell r="AG365">
            <v>15027583.130000001</v>
          </cell>
        </row>
        <row r="366">
          <cell r="R366" t="str">
            <v>7700/460</v>
          </cell>
          <cell r="S366" t="str">
            <v>Standard Bank Call (Retension)</v>
          </cell>
          <cell r="U366">
            <v>2814.9</v>
          </cell>
          <cell r="V366">
            <v>9.3699999999998909</v>
          </cell>
          <cell r="W366">
            <v>9.6999999999998181</v>
          </cell>
          <cell r="X366">
            <v>8.8500000000003638</v>
          </cell>
          <cell r="Y366">
            <v>9.169999999999618</v>
          </cell>
          <cell r="Z366">
            <v>0</v>
          </cell>
          <cell r="AA366">
            <v>16.970000000000255</v>
          </cell>
          <cell r="AB366">
            <v>8.6500000000000909</v>
          </cell>
          <cell r="AC366">
            <v>-2877.61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R367" t="str">
            <v>7700/500</v>
          </cell>
          <cell r="S367" t="str">
            <v>Petty Cash - Cape Town</v>
          </cell>
          <cell r="U367">
            <v>4800.2</v>
          </cell>
          <cell r="V367">
            <v>2297.6999999999998</v>
          </cell>
          <cell r="W367">
            <v>-4361.0999999999995</v>
          </cell>
          <cell r="X367">
            <v>-54.800000000000182</v>
          </cell>
          <cell r="Y367">
            <v>2904.2</v>
          </cell>
          <cell r="Z367">
            <v>192</v>
          </cell>
          <cell r="AA367">
            <v>1641.3000000000002</v>
          </cell>
          <cell r="AB367">
            <v>-1877</v>
          </cell>
          <cell r="AC367">
            <v>-1002.3999999999996</v>
          </cell>
          <cell r="AD367">
            <v>-234.60000000000036</v>
          </cell>
          <cell r="AE367">
            <v>4479.7000000000007</v>
          </cell>
          <cell r="AF367">
            <v>-4295.9000000000005</v>
          </cell>
          <cell r="AG367">
            <v>4489.3</v>
          </cell>
        </row>
        <row r="368">
          <cell r="R368" t="str">
            <v>7700/525</v>
          </cell>
          <cell r="S368" t="str">
            <v>Petty Cash Ottery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R369" t="str">
            <v>7700/550</v>
          </cell>
          <cell r="S369" t="str">
            <v>Bank Account - Pretoria PC</v>
          </cell>
          <cell r="U369">
            <v>725.6</v>
          </cell>
          <cell r="V369">
            <v>-229.5</v>
          </cell>
          <cell r="W369">
            <v>308.75</v>
          </cell>
          <cell r="X369">
            <v>-128.5</v>
          </cell>
          <cell r="Y369">
            <v>128.75</v>
          </cell>
          <cell r="Z369">
            <v>192.5</v>
          </cell>
          <cell r="AA369">
            <v>-231</v>
          </cell>
          <cell r="AB369">
            <v>281.74999999999989</v>
          </cell>
          <cell r="AC369">
            <v>-256.49999999999989</v>
          </cell>
          <cell r="AD369">
            <v>-141.75</v>
          </cell>
          <cell r="AE369">
            <v>-182</v>
          </cell>
          <cell r="AF369">
            <v>-30</v>
          </cell>
          <cell r="AG369">
            <v>438.1</v>
          </cell>
        </row>
        <row r="370">
          <cell r="R370" t="str">
            <v>7700/600</v>
          </cell>
          <cell r="S370" t="str">
            <v>Standard Bank - Credit Card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-42467.4</v>
          </cell>
          <cell r="AD370">
            <v>42467.4</v>
          </cell>
          <cell r="AE370">
            <v>0</v>
          </cell>
          <cell r="AF370">
            <v>0</v>
          </cell>
          <cell r="AG370">
            <v>0</v>
          </cell>
        </row>
        <row r="371">
          <cell r="R371" t="str">
            <v>7700/650</v>
          </cell>
          <cell r="S371" t="str">
            <v>Std Bank VAF Access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</row>
        <row r="372">
          <cell r="R372" t="str">
            <v>7700/700</v>
          </cell>
          <cell r="S372" t="str">
            <v>Investec Fixed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R373" t="str">
            <v>7700/750</v>
          </cell>
          <cell r="S373" t="str">
            <v>Ters Bank Account</v>
          </cell>
          <cell r="U373">
            <v>328</v>
          </cell>
          <cell r="V373">
            <v>-140</v>
          </cell>
          <cell r="W373">
            <v>860</v>
          </cell>
          <cell r="X373">
            <v>-140</v>
          </cell>
          <cell r="Y373">
            <v>-140</v>
          </cell>
          <cell r="Z373">
            <v>-140</v>
          </cell>
          <cell r="AA373">
            <v>-140</v>
          </cell>
          <cell r="AB373">
            <v>-140</v>
          </cell>
          <cell r="AC373">
            <v>-348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</row>
        <row r="374">
          <cell r="R374" t="str">
            <v>7800/100</v>
          </cell>
          <cell r="S374" t="str">
            <v>Travellars Cheques, Forex</v>
          </cell>
          <cell r="U374">
            <v>8877.66</v>
          </cell>
          <cell r="V374">
            <v>0</v>
          </cell>
          <cell r="W374">
            <v>0</v>
          </cell>
          <cell r="X374">
            <v>364.38000000000102</v>
          </cell>
          <cell r="Y374">
            <v>0</v>
          </cell>
          <cell r="Z374">
            <v>0</v>
          </cell>
          <cell r="AA374">
            <v>644.64999999999964</v>
          </cell>
          <cell r="AB374">
            <v>0</v>
          </cell>
          <cell r="AC374">
            <v>0</v>
          </cell>
          <cell r="AD374">
            <v>-90.899999999999636</v>
          </cell>
          <cell r="AE374">
            <v>0</v>
          </cell>
          <cell r="AF374">
            <v>9850.64</v>
          </cell>
          <cell r="AG374">
            <v>19646.43</v>
          </cell>
        </row>
        <row r="375">
          <cell r="R375" t="str">
            <v>7800/200</v>
          </cell>
          <cell r="S375" t="str">
            <v>Deposit</v>
          </cell>
          <cell r="U375">
            <v>35000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35000</v>
          </cell>
        </row>
        <row r="376">
          <cell r="R376" t="str">
            <v>7800/500</v>
          </cell>
          <cell r="S376" t="str">
            <v>Prepaid Exp.</v>
          </cell>
          <cell r="U376">
            <v>21753.82</v>
          </cell>
          <cell r="V376">
            <v>-1886.9599999999991</v>
          </cell>
          <cell r="W376">
            <v>-1886.9599999999991</v>
          </cell>
          <cell r="X376">
            <v>-1886.9600000000009</v>
          </cell>
          <cell r="Y376">
            <v>-1807.8999999999996</v>
          </cell>
          <cell r="Z376">
            <v>-1148.9600000000009</v>
          </cell>
          <cell r="AA376">
            <v>-1149.2800000000007</v>
          </cell>
          <cell r="AB376">
            <v>-399.55999999999949</v>
          </cell>
          <cell r="AC376">
            <v>-399.55999999999949</v>
          </cell>
          <cell r="AD376">
            <v>-399.55999999999949</v>
          </cell>
          <cell r="AE376">
            <v>-399.56000000000131</v>
          </cell>
          <cell r="AF376">
            <v>-399.55999999999949</v>
          </cell>
          <cell r="AG376">
            <v>9989</v>
          </cell>
        </row>
        <row r="377">
          <cell r="R377" t="str">
            <v>7800/510</v>
          </cell>
          <cell r="S377" t="str">
            <v>Prepaid Exp - Creditors</v>
          </cell>
          <cell r="U377">
            <v>51759.3</v>
          </cell>
          <cell r="V377">
            <v>17579.440000000002</v>
          </cell>
          <cell r="W377">
            <v>81972.740000000005</v>
          </cell>
          <cell r="X377">
            <v>-100658.85</v>
          </cell>
          <cell r="Y377">
            <v>3300</v>
          </cell>
          <cell r="Z377">
            <v>140266.06</v>
          </cell>
          <cell r="AA377">
            <v>-124614.48</v>
          </cell>
          <cell r="AB377">
            <v>87988.680000000008</v>
          </cell>
          <cell r="AC377">
            <v>534206.51</v>
          </cell>
          <cell r="AD377">
            <v>-449558.60000000003</v>
          </cell>
          <cell r="AE377">
            <v>271.97000000000116</v>
          </cell>
          <cell r="AF377">
            <v>-70076.22</v>
          </cell>
          <cell r="AG377">
            <v>172436.55</v>
          </cell>
        </row>
        <row r="378">
          <cell r="R378" t="str">
            <v>7800/550</v>
          </cell>
          <cell r="S378" t="str">
            <v>Prepaid Exp. - Insurance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</row>
        <row r="379">
          <cell r="R379" t="str">
            <v>7800/560</v>
          </cell>
          <cell r="S379" t="str">
            <v>Prepaid Exp. - Fridgeair</v>
          </cell>
          <cell r="U379">
            <v>34800</v>
          </cell>
          <cell r="V379">
            <v>0</v>
          </cell>
          <cell r="W379">
            <v>0</v>
          </cell>
          <cell r="X379">
            <v>-34800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R380" t="str">
            <v>7800/600</v>
          </cell>
          <cell r="S380" t="str">
            <v>Prepaid Exp. - Stannic Interes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</row>
        <row r="381">
          <cell r="R381" t="str">
            <v>7900/100</v>
          </cell>
          <cell r="S381" t="str">
            <v>Staff loans</v>
          </cell>
          <cell r="U381">
            <v>652.75</v>
          </cell>
          <cell r="V381">
            <v>2047.25</v>
          </cell>
          <cell r="W381">
            <v>8300</v>
          </cell>
          <cell r="X381">
            <v>-6700</v>
          </cell>
          <cell r="Y381">
            <v>18930.02</v>
          </cell>
          <cell r="Z381">
            <v>-14221.83</v>
          </cell>
          <cell r="AA381">
            <v>8577.8199999999979</v>
          </cell>
          <cell r="AB381">
            <v>8720.7000000000007</v>
          </cell>
          <cell r="AC381">
            <v>-2269.4500000000007</v>
          </cell>
          <cell r="AD381">
            <v>-8570.1799999999985</v>
          </cell>
          <cell r="AE381">
            <v>-1051.6399999999994</v>
          </cell>
          <cell r="AF381">
            <v>-8100.1100000000006</v>
          </cell>
          <cell r="AG381">
            <v>6315.33</v>
          </cell>
        </row>
        <row r="382">
          <cell r="R382" t="str">
            <v>8000/000</v>
          </cell>
          <cell r="S382" t="str">
            <v>Debtors Control - CTN</v>
          </cell>
          <cell r="U382">
            <v>1470360.97</v>
          </cell>
          <cell r="V382">
            <v>476271.35000000009</v>
          </cell>
          <cell r="W382">
            <v>1011586.3099999998</v>
          </cell>
          <cell r="X382">
            <v>742018.91999999993</v>
          </cell>
          <cell r="Y382">
            <v>-1099110.7799999998</v>
          </cell>
          <cell r="Z382">
            <v>430937.64000000013</v>
          </cell>
          <cell r="AA382">
            <v>736137.19999999972</v>
          </cell>
          <cell r="AB382">
            <v>-899016.81999999983</v>
          </cell>
          <cell r="AC382">
            <v>2460491.5999999996</v>
          </cell>
          <cell r="AD382">
            <v>-4047002.4299999997</v>
          </cell>
          <cell r="AE382">
            <v>286783.57000000007</v>
          </cell>
          <cell r="AF382">
            <v>1084316.0199999998</v>
          </cell>
          <cell r="AG382">
            <v>2653773.5499999998</v>
          </cell>
        </row>
        <row r="383">
          <cell r="R383" t="str">
            <v>8000/100</v>
          </cell>
          <cell r="S383" t="str">
            <v>Debtors Control - PTA</v>
          </cell>
          <cell r="U383">
            <v>3232270.02</v>
          </cell>
          <cell r="V383">
            <v>462524.12000000011</v>
          </cell>
          <cell r="W383">
            <v>-843066.34000000032</v>
          </cell>
          <cell r="X383">
            <v>-433222.52</v>
          </cell>
          <cell r="Y383">
            <v>-201722.5</v>
          </cell>
          <cell r="Z383">
            <v>199298.70000000019</v>
          </cell>
          <cell r="AA383">
            <v>3137982.28</v>
          </cell>
          <cell r="AB383">
            <v>-1384507.92</v>
          </cell>
          <cell r="AC383">
            <v>734237.08999999985</v>
          </cell>
          <cell r="AD383">
            <v>-2621416.1599999997</v>
          </cell>
          <cell r="AE383">
            <v>-1102323.03</v>
          </cell>
          <cell r="AF383">
            <v>2882900.84</v>
          </cell>
          <cell r="AG383">
            <v>4062954.58</v>
          </cell>
        </row>
        <row r="384">
          <cell r="R384" t="str">
            <v>8000/200</v>
          </cell>
          <cell r="S384" t="str">
            <v>Debtors Control - DBN</v>
          </cell>
          <cell r="U384">
            <v>752441.05</v>
          </cell>
          <cell r="V384">
            <v>618034.69999999995</v>
          </cell>
          <cell r="W384">
            <v>-53975.25</v>
          </cell>
          <cell r="X384">
            <v>977743.75</v>
          </cell>
          <cell r="Y384">
            <v>250459.9700000002</v>
          </cell>
          <cell r="Z384">
            <v>-1861364.29</v>
          </cell>
          <cell r="AA384">
            <v>-37032.560000000056</v>
          </cell>
          <cell r="AB384">
            <v>37039.109999999986</v>
          </cell>
          <cell r="AC384">
            <v>1497059.2400000002</v>
          </cell>
          <cell r="AD384">
            <v>-1844319.8000000003</v>
          </cell>
          <cell r="AE384">
            <v>903879.90000000014</v>
          </cell>
          <cell r="AF384">
            <v>642643.98</v>
          </cell>
          <cell r="AG384">
            <v>1882609.8</v>
          </cell>
        </row>
        <row r="385">
          <cell r="R385" t="str">
            <v>8000/300</v>
          </cell>
          <cell r="S385" t="str">
            <v>Debtors Control - PE</v>
          </cell>
          <cell r="U385">
            <v>478780.19</v>
          </cell>
          <cell r="V385">
            <v>128891.76999999996</v>
          </cell>
          <cell r="W385">
            <v>-264560.36999999994</v>
          </cell>
          <cell r="X385">
            <v>410985.41</v>
          </cell>
          <cell r="Y385">
            <v>283103.09999999998</v>
          </cell>
          <cell r="Z385">
            <v>-198672.28000000003</v>
          </cell>
          <cell r="AA385">
            <v>-143786.90999999992</v>
          </cell>
          <cell r="AB385">
            <v>-211361.29000000004</v>
          </cell>
          <cell r="AC385">
            <v>226819.20999999996</v>
          </cell>
          <cell r="AD385">
            <v>-68138.989999999991</v>
          </cell>
          <cell r="AE385">
            <v>-320167.93999999994</v>
          </cell>
          <cell r="AF385">
            <v>156048.09999999998</v>
          </cell>
          <cell r="AG385">
            <v>477940</v>
          </cell>
        </row>
        <row r="386">
          <cell r="R386" t="str">
            <v>8000/400</v>
          </cell>
          <cell r="S386" t="str">
            <v>Debtors Control - RADI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</row>
        <row r="387">
          <cell r="R387" t="str">
            <v>8000/500</v>
          </cell>
          <cell r="S387" t="str">
            <v>Debtors Control - Export</v>
          </cell>
          <cell r="U387">
            <v>6064406.79</v>
          </cell>
          <cell r="V387">
            <v>2380148.1599999992</v>
          </cell>
          <cell r="W387">
            <v>623524.35000000149</v>
          </cell>
          <cell r="X387">
            <v>-4628984.6100000003</v>
          </cell>
          <cell r="Y387">
            <v>-609259.95000000019</v>
          </cell>
          <cell r="Z387">
            <v>-2665663.9700000002</v>
          </cell>
          <cell r="AA387">
            <v>776695.1399999999</v>
          </cell>
          <cell r="AB387">
            <v>446154.30000000005</v>
          </cell>
          <cell r="AC387">
            <v>363933.10999999987</v>
          </cell>
          <cell r="AD387">
            <v>2064419.77</v>
          </cell>
          <cell r="AE387">
            <v>-1747823.2199999997</v>
          </cell>
          <cell r="AF387">
            <v>-1790486.35</v>
          </cell>
          <cell r="AG387">
            <v>1277063.52</v>
          </cell>
        </row>
        <row r="388">
          <cell r="R388" t="str">
            <v>8000/600</v>
          </cell>
          <cell r="S388" t="str">
            <v>Debtors Control - ASC</v>
          </cell>
          <cell r="U388">
            <v>2135636.6800000002</v>
          </cell>
          <cell r="V388">
            <v>-710928.26000000024</v>
          </cell>
          <cell r="W388">
            <v>-42104.260000000009</v>
          </cell>
          <cell r="X388">
            <v>9421.0100000000093</v>
          </cell>
          <cell r="Y388">
            <v>-894486.19</v>
          </cell>
          <cell r="Z388">
            <v>880195.47</v>
          </cell>
          <cell r="AA388">
            <v>-188514.58999999985</v>
          </cell>
          <cell r="AB388">
            <v>-49890.710000000196</v>
          </cell>
          <cell r="AC388">
            <v>139393.88000000012</v>
          </cell>
          <cell r="AD388">
            <v>180884.79000000004</v>
          </cell>
          <cell r="AE388">
            <v>-142020.14000000013</v>
          </cell>
          <cell r="AF388">
            <v>41204.5</v>
          </cell>
          <cell r="AG388">
            <v>1358792.18</v>
          </cell>
        </row>
        <row r="389">
          <cell r="R389" t="str">
            <v>8000/700</v>
          </cell>
          <cell r="S389" t="str">
            <v>Debtors Control - Bloem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R390" t="str">
            <v>8000/750</v>
          </cell>
          <cell r="S390" t="str">
            <v>Debtors Control - Africa</v>
          </cell>
          <cell r="U390">
            <v>-68923.23</v>
          </cell>
          <cell r="V390">
            <v>-360575.88</v>
          </cell>
          <cell r="W390">
            <v>842667.90999999992</v>
          </cell>
          <cell r="X390">
            <v>-364812.12</v>
          </cell>
          <cell r="Y390">
            <v>-19814.77</v>
          </cell>
          <cell r="Z390">
            <v>673553.96</v>
          </cell>
          <cell r="AA390">
            <v>-571313.07999999996</v>
          </cell>
          <cell r="AB390">
            <v>-76828.97</v>
          </cell>
          <cell r="AC390">
            <v>218855.18</v>
          </cell>
          <cell r="AD390">
            <v>-296638.99</v>
          </cell>
          <cell r="AE390">
            <v>153228.35999999999</v>
          </cell>
          <cell r="AF390">
            <v>-631367.89</v>
          </cell>
          <cell r="AG390">
            <v>-501969.52000000014</v>
          </cell>
        </row>
        <row r="391">
          <cell r="R391" t="str">
            <v>8000/800</v>
          </cell>
          <cell r="S391" t="str">
            <v>Debtors Control - Rent</v>
          </cell>
          <cell r="U391">
            <v>22750.89</v>
          </cell>
          <cell r="V391">
            <v>782.45999999999913</v>
          </cell>
          <cell r="W391">
            <v>-4500.2699999999968</v>
          </cell>
          <cell r="X391">
            <v>0</v>
          </cell>
          <cell r="Y391">
            <v>0</v>
          </cell>
          <cell r="Z391">
            <v>0</v>
          </cell>
          <cell r="AA391">
            <v>-19566</v>
          </cell>
          <cell r="AB391">
            <v>23602.179999999997</v>
          </cell>
          <cell r="AC391">
            <v>4329.380000000001</v>
          </cell>
          <cell r="AD391">
            <v>-6370.48</v>
          </cell>
          <cell r="AE391">
            <v>532.63999999999942</v>
          </cell>
          <cell r="AF391">
            <v>-1994.7999999999993</v>
          </cell>
          <cell r="AG391">
            <v>19566</v>
          </cell>
        </row>
        <row r="392">
          <cell r="R392" t="str">
            <v>8000/999</v>
          </cell>
          <cell r="S392" t="str">
            <v>Temp Debtor</v>
          </cell>
          <cell r="U392">
            <v>21343.75</v>
          </cell>
          <cell r="V392">
            <v>-13959.439999999999</v>
          </cell>
          <cell r="W392">
            <v>25517.94</v>
          </cell>
          <cell r="X392">
            <v>-17387.830000000002</v>
          </cell>
          <cell r="Y392">
            <v>14130.820000000002</v>
          </cell>
          <cell r="Z392">
            <v>-13849.500000000002</v>
          </cell>
          <cell r="AA392">
            <v>488.23999999999978</v>
          </cell>
          <cell r="AB392">
            <v>17327.719999999998</v>
          </cell>
          <cell r="AC392">
            <v>-19158.849999999999</v>
          </cell>
          <cell r="AD392">
            <v>1910.7199999999993</v>
          </cell>
          <cell r="AE392">
            <v>14828.48</v>
          </cell>
          <cell r="AF392">
            <v>-17280.169999999998</v>
          </cell>
          <cell r="AG392">
            <v>13911.879999999997</v>
          </cell>
        </row>
        <row r="393">
          <cell r="R393" t="str">
            <v>8100/000</v>
          </cell>
          <cell r="S393" t="str">
            <v>Deposit Received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</row>
        <row r="394">
          <cell r="R394" t="str">
            <v>9000/000</v>
          </cell>
          <cell r="S394" t="str">
            <v>Creditors Control - Local</v>
          </cell>
          <cell r="U394">
            <v>-7223408.1100000003</v>
          </cell>
          <cell r="V394">
            <v>1458173.2300000004</v>
          </cell>
          <cell r="W394">
            <v>-966126.28000000026</v>
          </cell>
          <cell r="X394">
            <v>462918.73000000045</v>
          </cell>
          <cell r="Y394">
            <v>-713140.72000000067</v>
          </cell>
          <cell r="Z394">
            <v>1266522.4000000004</v>
          </cell>
          <cell r="AA394">
            <v>690217.37000000011</v>
          </cell>
          <cell r="AB394">
            <v>-1862690.9400000004</v>
          </cell>
          <cell r="AC394">
            <v>-71409.349999999627</v>
          </cell>
          <cell r="AD394">
            <v>4930277.8599999994</v>
          </cell>
          <cell r="AE394">
            <v>-1675214.25</v>
          </cell>
          <cell r="AF394">
            <v>-511202.42000000039</v>
          </cell>
          <cell r="AG394">
            <v>-4215082.4800000004</v>
          </cell>
        </row>
        <row r="395">
          <cell r="R395" t="str">
            <v>9000/100</v>
          </cell>
          <cell r="S395" t="str">
            <v>Creditors Control - Foreign</v>
          </cell>
          <cell r="U395">
            <v>85562.74</v>
          </cell>
          <cell r="V395">
            <v>241562.02000000002</v>
          </cell>
          <cell r="W395">
            <v>-48525.760000000009</v>
          </cell>
          <cell r="X395">
            <v>-463914</v>
          </cell>
          <cell r="Y395">
            <v>885718.89</v>
          </cell>
          <cell r="Z395">
            <v>460131.62</v>
          </cell>
          <cell r="AA395">
            <v>-536831.56000000006</v>
          </cell>
          <cell r="AB395">
            <v>-172224.34999999998</v>
          </cell>
          <cell r="AC395">
            <v>185097.33000000007</v>
          </cell>
          <cell r="AD395">
            <v>87831.019999999902</v>
          </cell>
          <cell r="AE395">
            <v>60537.369999999995</v>
          </cell>
          <cell r="AF395">
            <v>-896618.16999999993</v>
          </cell>
          <cell r="AG395">
            <v>-111672.84999999998</v>
          </cell>
        </row>
        <row r="396">
          <cell r="R396" t="str">
            <v>9000/200</v>
          </cell>
          <cell r="S396" t="str">
            <v>GRN Suspense Control- Accruals</v>
          </cell>
          <cell r="U396">
            <v>-41845.33</v>
          </cell>
          <cell r="V396">
            <v>-14180.71</v>
          </cell>
          <cell r="W396">
            <v>21110.270000000004</v>
          </cell>
          <cell r="X396">
            <v>-119637.65000000002</v>
          </cell>
          <cell r="Y396">
            <v>106685.09000000001</v>
          </cell>
          <cell r="Z396">
            <v>38098.22</v>
          </cell>
          <cell r="AA396">
            <v>22025.239999999998</v>
          </cell>
          <cell r="AB396">
            <v>-103217.63</v>
          </cell>
          <cell r="AC396">
            <v>-439648.06000000006</v>
          </cell>
          <cell r="AD396">
            <v>428502.70000000007</v>
          </cell>
          <cell r="AE396">
            <v>-977.58000000000175</v>
          </cell>
          <cell r="AF396">
            <v>103904.66</v>
          </cell>
          <cell r="AG396">
            <v>819.22000000001572</v>
          </cell>
        </row>
        <row r="397">
          <cell r="R397" t="str">
            <v>9000/300</v>
          </cell>
          <cell r="S397" t="str">
            <v>Subcontract Control</v>
          </cell>
          <cell r="U397">
            <v>0</v>
          </cell>
          <cell r="V397">
            <v>0</v>
          </cell>
          <cell r="W397">
            <v>1363.43</v>
          </cell>
          <cell r="X397">
            <v>22685.66</v>
          </cell>
          <cell r="Y397">
            <v>16306.999999999996</v>
          </cell>
          <cell r="Z397">
            <v>-40356.089999999997</v>
          </cell>
          <cell r="AA397">
            <v>-10058.6</v>
          </cell>
          <cell r="AB397">
            <v>10058.6</v>
          </cell>
          <cell r="AC397">
            <v>0</v>
          </cell>
          <cell r="AD397">
            <v>236.8</v>
          </cell>
          <cell r="AE397">
            <v>48211.229999999996</v>
          </cell>
          <cell r="AF397">
            <v>-48448.03</v>
          </cell>
          <cell r="AG397">
            <v>0</v>
          </cell>
        </row>
        <row r="398">
          <cell r="R398" t="str">
            <v>9000/999</v>
          </cell>
          <cell r="S398" t="str">
            <v>Cred Take on Control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</row>
        <row r="399">
          <cell r="R399" t="str">
            <v>9100/100</v>
          </cell>
          <cell r="S399" t="str">
            <v>SARS - Co. Tax Prev Year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</row>
        <row r="400">
          <cell r="R400" t="str">
            <v>9100/130</v>
          </cell>
          <cell r="S400" t="str">
            <v>SARS - Co Tax Current</v>
          </cell>
          <cell r="U400">
            <v>-29480.7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29477.420000000002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-360600.12</v>
          </cell>
          <cell r="AG400">
            <v>-360603.4</v>
          </cell>
        </row>
        <row r="401">
          <cell r="R401" t="str">
            <v>9100/135</v>
          </cell>
          <cell r="S401" t="str">
            <v>Defered Tax - Permanent Differ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</row>
        <row r="402">
          <cell r="R402" t="str">
            <v>9100/140</v>
          </cell>
          <cell r="S402" t="str">
            <v>Defered Tax - Temporary</v>
          </cell>
          <cell r="U402">
            <v>-253354.75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154194.07</v>
          </cell>
          <cell r="AG402">
            <v>-99160.68</v>
          </cell>
        </row>
        <row r="403">
          <cell r="R403" t="str">
            <v>9100/150</v>
          </cell>
          <cell r="S403" t="str">
            <v>SARS - DWT</v>
          </cell>
          <cell r="U403">
            <v>0</v>
          </cell>
          <cell r="V403">
            <v>0</v>
          </cell>
          <cell r="W403">
            <v>-1200000</v>
          </cell>
          <cell r="X403">
            <v>200000</v>
          </cell>
          <cell r="Y403">
            <v>1000000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</row>
        <row r="404">
          <cell r="R404" t="str">
            <v>9100/160</v>
          </cell>
          <cell r="S404" t="str">
            <v>SARS - Capital Gains Tax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</row>
        <row r="405">
          <cell r="R405" t="str">
            <v>9100/180</v>
          </cell>
          <cell r="S405" t="str">
            <v>Provision for Dividends Declar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</row>
        <row r="406">
          <cell r="R406" t="str">
            <v>9200/100</v>
          </cell>
          <cell r="S406" t="str">
            <v>Staff - Salary Control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R407" t="str">
            <v>9300/100</v>
          </cell>
          <cell r="S407" t="str">
            <v>Staff - Providend Fund(Liberty</v>
          </cell>
          <cell r="U407">
            <v>-128324.63</v>
          </cell>
          <cell r="V407">
            <v>0</v>
          </cell>
          <cell r="W407">
            <v>0</v>
          </cell>
          <cell r="X407">
            <v>0</v>
          </cell>
          <cell r="Y407">
            <v>-5009.859999999986</v>
          </cell>
          <cell r="Z407">
            <v>0</v>
          </cell>
          <cell r="AA407">
            <v>0</v>
          </cell>
          <cell r="AB407">
            <v>0</v>
          </cell>
          <cell r="AC407">
            <v>-230</v>
          </cell>
          <cell r="AD407">
            <v>0</v>
          </cell>
          <cell r="AE407">
            <v>0</v>
          </cell>
          <cell r="AF407">
            <v>0</v>
          </cell>
          <cell r="AG407">
            <v>-133564.49</v>
          </cell>
        </row>
        <row r="408">
          <cell r="R408" t="str">
            <v>9300/150</v>
          </cell>
          <cell r="S408" t="str">
            <v>Staff - Leave Pay Provision</v>
          </cell>
          <cell r="U408">
            <v>-95435.82</v>
          </cell>
          <cell r="V408">
            <v>-65322.979999999981</v>
          </cell>
          <cell r="W408">
            <v>-93154.370000000024</v>
          </cell>
          <cell r="X408">
            <v>-99328.299999999959</v>
          </cell>
          <cell r="Y408">
            <v>-65877.640000000014</v>
          </cell>
          <cell r="Z408">
            <v>-86864.660000000033</v>
          </cell>
          <cell r="AA408">
            <v>-97425.390000000014</v>
          </cell>
          <cell r="AB408">
            <v>-89432.900000000023</v>
          </cell>
          <cell r="AC408">
            <v>-97582.149999999907</v>
          </cell>
          <cell r="AD408">
            <v>790424.21</v>
          </cell>
          <cell r="AE408">
            <v>0</v>
          </cell>
          <cell r="AF408">
            <v>0</v>
          </cell>
          <cell r="AG408">
            <v>0</v>
          </cell>
        </row>
        <row r="409">
          <cell r="R409" t="str">
            <v>9300/200</v>
          </cell>
          <cell r="S409" t="str">
            <v>Staff - Bonus Provision</v>
          </cell>
          <cell r="U409">
            <v>-286489.90999999997</v>
          </cell>
          <cell r="V409">
            <v>-265264.65000000008</v>
          </cell>
          <cell r="W409">
            <v>-286489.90999999992</v>
          </cell>
          <cell r="X409">
            <v>-282656.27</v>
          </cell>
          <cell r="Y409">
            <v>-247919.79000000004</v>
          </cell>
          <cell r="Z409">
            <v>-276525.71999999997</v>
          </cell>
          <cell r="AA409">
            <v>-286489.90999999992</v>
          </cell>
          <cell r="AB409">
            <v>-278285.51</v>
          </cell>
          <cell r="AC409">
            <v>-286489.91000000015</v>
          </cell>
          <cell r="AD409">
            <v>2496611.98</v>
          </cell>
          <cell r="AE409">
            <v>0</v>
          </cell>
          <cell r="AF409">
            <v>-0.4</v>
          </cell>
          <cell r="AG409">
            <v>-9.3132279666008344E-11</v>
          </cell>
        </row>
        <row r="410">
          <cell r="R410" t="str">
            <v>9300/220</v>
          </cell>
          <cell r="S410" t="str">
            <v>Staff - Gain Share Provision</v>
          </cell>
          <cell r="U410">
            <v>-183510.83</v>
          </cell>
          <cell r="V410">
            <v>-185338.33</v>
          </cell>
          <cell r="W410">
            <v>-261133.27999999997</v>
          </cell>
          <cell r="X410">
            <v>-171566.06000000006</v>
          </cell>
          <cell r="Y410">
            <v>-197112.03000000003</v>
          </cell>
          <cell r="Z410">
            <v>-51917.040000000037</v>
          </cell>
          <cell r="AA410">
            <v>854118.34000000008</v>
          </cell>
          <cell r="AB410">
            <v>-137893.65</v>
          </cell>
          <cell r="AC410">
            <v>-251219.52000000002</v>
          </cell>
          <cell r="AD410">
            <v>-66385</v>
          </cell>
          <cell r="AE410">
            <v>20007.290000000037</v>
          </cell>
          <cell r="AF410">
            <v>-96249.62</v>
          </cell>
          <cell r="AG410">
            <v>-728199.73</v>
          </cell>
        </row>
        <row r="411">
          <cell r="R411" t="str">
            <v>9300/250</v>
          </cell>
          <cell r="S411" t="str">
            <v>Staff - Savings</v>
          </cell>
          <cell r="U411">
            <v>-123330</v>
          </cell>
          <cell r="V411">
            <v>-19300</v>
          </cell>
          <cell r="W411">
            <v>-31720</v>
          </cell>
          <cell r="X411">
            <v>-6950</v>
          </cell>
          <cell r="Y411">
            <v>-14700</v>
          </cell>
          <cell r="Z411">
            <v>-9300</v>
          </cell>
          <cell r="AA411">
            <v>-36350</v>
          </cell>
          <cell r="AB411">
            <v>-12550</v>
          </cell>
          <cell r="AC411">
            <v>-15900</v>
          </cell>
          <cell r="AD411">
            <v>122400</v>
          </cell>
          <cell r="AE411">
            <v>72700</v>
          </cell>
          <cell r="AF411">
            <v>-38080</v>
          </cell>
          <cell r="AG411">
            <v>-113080</v>
          </cell>
        </row>
        <row r="412">
          <cell r="R412" t="str">
            <v>9300/260</v>
          </cell>
          <cell r="S412" t="str">
            <v>Staff -  Birthday</v>
          </cell>
          <cell r="U412">
            <v>600</v>
          </cell>
          <cell r="V412">
            <v>200</v>
          </cell>
          <cell r="W412">
            <v>-2200</v>
          </cell>
          <cell r="X412">
            <v>800</v>
          </cell>
          <cell r="Y412">
            <v>3900</v>
          </cell>
          <cell r="Z412">
            <v>300</v>
          </cell>
          <cell r="AA412">
            <v>300</v>
          </cell>
          <cell r="AB412">
            <v>-2100</v>
          </cell>
          <cell r="AC412">
            <v>-2100</v>
          </cell>
          <cell r="AD412">
            <v>300</v>
          </cell>
          <cell r="AE412">
            <v>-900</v>
          </cell>
          <cell r="AF412">
            <v>-2100</v>
          </cell>
          <cell r="AG412">
            <v>-3000</v>
          </cell>
        </row>
        <row r="413">
          <cell r="R413" t="str">
            <v>9300/300</v>
          </cell>
          <cell r="S413" t="str">
            <v>Staff - AIG Insurance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R414" t="str">
            <v>9300/350</v>
          </cell>
          <cell r="S414" t="str">
            <v>Staff - Cashbank Control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9</v>
          </cell>
          <cell r="AA414">
            <v>9</v>
          </cell>
          <cell r="AB414">
            <v>-18</v>
          </cell>
          <cell r="AC414">
            <v>0</v>
          </cell>
          <cell r="AD414">
            <v>-611.54</v>
          </cell>
          <cell r="AE414">
            <v>611.54</v>
          </cell>
          <cell r="AF414">
            <v>0</v>
          </cell>
          <cell r="AG414">
            <v>0</v>
          </cell>
        </row>
        <row r="415">
          <cell r="R415" t="str">
            <v>9300/400</v>
          </cell>
          <cell r="S415" t="str">
            <v>Staff - Court Orders Control</v>
          </cell>
          <cell r="U415">
            <v>0</v>
          </cell>
          <cell r="V415">
            <v>-500</v>
          </cell>
          <cell r="W415">
            <v>500</v>
          </cell>
          <cell r="X415">
            <v>0</v>
          </cell>
          <cell r="Y415">
            <v>-500</v>
          </cell>
          <cell r="Z415">
            <v>500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R416" t="str">
            <v>9300/450</v>
          </cell>
          <cell r="S416" t="str">
            <v>Staff - Metropol Life Control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</row>
        <row r="417">
          <cell r="R417" t="str">
            <v>9300/500</v>
          </cell>
          <cell r="S417" t="str">
            <v>Staff - NIC Control</v>
          </cell>
          <cell r="U417">
            <v>-203756.18</v>
          </cell>
          <cell r="V417">
            <v>-43379.34</v>
          </cell>
          <cell r="W417">
            <v>55882.629999999976</v>
          </cell>
          <cell r="X417">
            <v>-2899.1699999999837</v>
          </cell>
          <cell r="Y417">
            <v>-39669.760000000009</v>
          </cell>
          <cell r="Z417">
            <v>42899.040000000008</v>
          </cell>
          <cell r="AA417">
            <v>-1097.0499999999884</v>
          </cell>
          <cell r="AB417">
            <v>-39768.400000000023</v>
          </cell>
          <cell r="AC417">
            <v>38080.760000000009</v>
          </cell>
          <cell r="AD417">
            <v>-36241.51999999999</v>
          </cell>
          <cell r="AE417">
            <v>73829.34</v>
          </cell>
          <cell r="AF417">
            <v>-34606.660000000003</v>
          </cell>
          <cell r="AG417">
            <v>-190726.31</v>
          </cell>
        </row>
        <row r="418">
          <cell r="R418" t="str">
            <v>9300/550</v>
          </cell>
          <cell r="S418" t="str">
            <v>Staff - PAYE Control</v>
          </cell>
          <cell r="U418">
            <v>-511552.84</v>
          </cell>
          <cell r="V418">
            <v>31532.960000000021</v>
          </cell>
          <cell r="W418">
            <v>90188.989999999991</v>
          </cell>
          <cell r="X418">
            <v>-16163</v>
          </cell>
          <cell r="Y418">
            <v>-24858.739999999991</v>
          </cell>
          <cell r="Z418">
            <v>33983.049999999988</v>
          </cell>
          <cell r="AA418">
            <v>-231171.76999999996</v>
          </cell>
          <cell r="AB418">
            <v>213927.02999999997</v>
          </cell>
          <cell r="AC418">
            <v>-32218.049999999988</v>
          </cell>
          <cell r="AD418">
            <v>-702452.35</v>
          </cell>
          <cell r="AE418">
            <v>812297.37</v>
          </cell>
          <cell r="AF418">
            <v>-45731.410000000033</v>
          </cell>
          <cell r="AG418">
            <v>-382218.76</v>
          </cell>
        </row>
        <row r="419">
          <cell r="R419" t="str">
            <v>9300/600</v>
          </cell>
          <cell r="S419" t="str">
            <v>Staff - SDL Control</v>
          </cell>
          <cell r="U419">
            <v>-29640.959999999999</v>
          </cell>
          <cell r="V419">
            <v>265.81999999999971</v>
          </cell>
          <cell r="W419">
            <v>5501.7000000000007</v>
          </cell>
          <cell r="X419">
            <v>-444.29000000000087</v>
          </cell>
          <cell r="Y419">
            <v>-2756.41</v>
          </cell>
          <cell r="Z419">
            <v>3305.9799999999996</v>
          </cell>
          <cell r="AA419">
            <v>-9881.5799999999981</v>
          </cell>
          <cell r="AB419">
            <v>7482.3399999999965</v>
          </cell>
          <cell r="AC419">
            <v>627.7400000000016</v>
          </cell>
          <cell r="AD419">
            <v>-26861.219999999998</v>
          </cell>
          <cell r="AE419">
            <v>31862.569999999996</v>
          </cell>
          <cell r="AF419">
            <v>-2384.6899999999987</v>
          </cell>
          <cell r="AG419">
            <v>-22923</v>
          </cell>
        </row>
        <row r="420">
          <cell r="R420" t="str">
            <v>9300/650</v>
          </cell>
          <cell r="S420" t="str">
            <v>Staff - UIF Control</v>
          </cell>
          <cell r="U420">
            <v>-40156.44</v>
          </cell>
          <cell r="V420">
            <v>-1765.0599999999977</v>
          </cell>
          <cell r="W420">
            <v>7269.0400000000009</v>
          </cell>
          <cell r="X420">
            <v>-173.76000000000204</v>
          </cell>
          <cell r="Y420">
            <v>-4293.5400000000009</v>
          </cell>
          <cell r="Z420">
            <v>4512.6600000000035</v>
          </cell>
          <cell r="AA420">
            <v>-3724.0200000000041</v>
          </cell>
          <cell r="AB420">
            <v>454.90000000000146</v>
          </cell>
          <cell r="AC420">
            <v>2761.1200000000026</v>
          </cell>
          <cell r="AD420">
            <v>-3882.1399999999994</v>
          </cell>
          <cell r="AE420">
            <v>10851.619999999999</v>
          </cell>
          <cell r="AF420">
            <v>-4909.2000000000007</v>
          </cell>
          <cell r="AG420">
            <v>-33054.82</v>
          </cell>
        </row>
        <row r="421">
          <cell r="R421" t="str">
            <v>9300/700</v>
          </cell>
          <cell r="S421" t="str">
            <v>Staff - NUMSA Control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-160.72</v>
          </cell>
          <cell r="Z421">
            <v>160.72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</row>
        <row r="422">
          <cell r="R422" t="str">
            <v>9300/720</v>
          </cell>
          <cell r="S422" t="str">
            <v>Staff - Sundry</v>
          </cell>
          <cell r="U422">
            <v>0</v>
          </cell>
          <cell r="V422">
            <v>0</v>
          </cell>
          <cell r="W422">
            <v>0</v>
          </cell>
          <cell r="X422">
            <v>17942.3</v>
          </cell>
          <cell r="Y422">
            <v>-11750.699999999999</v>
          </cell>
          <cell r="Z422">
            <v>-3829.5000000000005</v>
          </cell>
          <cell r="AA422">
            <v>-1276.5</v>
          </cell>
          <cell r="AB422">
            <v>0</v>
          </cell>
          <cell r="AC422">
            <v>0</v>
          </cell>
          <cell r="AD422">
            <v>-4289</v>
          </cell>
          <cell r="AE422">
            <v>3841.65</v>
          </cell>
          <cell r="AF422">
            <v>-638.25</v>
          </cell>
          <cell r="AG422">
            <v>0</v>
          </cell>
        </row>
        <row r="423">
          <cell r="R423" t="str">
            <v>9400/050</v>
          </cell>
          <cell r="S423" t="str">
            <v>Insurance Claims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</row>
        <row r="424">
          <cell r="R424" t="str">
            <v>9400/100</v>
          </cell>
          <cell r="S424" t="str">
            <v>Accrued Expenses - Sundry</v>
          </cell>
          <cell r="U424">
            <v>-441613.81</v>
          </cell>
          <cell r="V424">
            <v>-64249.22000000003</v>
          </cell>
          <cell r="W424">
            <v>193833.60000000003</v>
          </cell>
          <cell r="X424">
            <v>-89091.450000000012</v>
          </cell>
          <cell r="Y424">
            <v>-163762.18999999994</v>
          </cell>
          <cell r="Z424">
            <v>162366.69999999995</v>
          </cell>
          <cell r="AA424">
            <v>-46529.090000000026</v>
          </cell>
          <cell r="AB424">
            <v>134918.20000000001</v>
          </cell>
          <cell r="AC424">
            <v>-96988.27999999997</v>
          </cell>
          <cell r="AD424">
            <v>2538.7099999999627</v>
          </cell>
          <cell r="AE424">
            <v>188367.40000000002</v>
          </cell>
          <cell r="AF424">
            <v>-198805.71000000002</v>
          </cell>
          <cell r="AG424">
            <v>-419015.14</v>
          </cell>
        </row>
        <row r="425">
          <cell r="R425" t="str">
            <v>9400/500</v>
          </cell>
          <cell r="S425" t="str">
            <v>DTI Income - prov Account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R426" t="str">
            <v>9500/100</v>
          </cell>
          <cell r="S426" t="str">
            <v>Sundry Cred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</row>
        <row r="427">
          <cell r="R427" t="str">
            <v>9500/150</v>
          </cell>
          <cell r="S427" t="str">
            <v>Sundry Cred - Toy Bakkie 0001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R428" t="str">
            <v>9500/160</v>
          </cell>
          <cell r="S428" t="str">
            <v>Sundry Cred - Compressor 0003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R429" t="str">
            <v>9500/170</v>
          </cell>
          <cell r="S429" t="str">
            <v>Sundry Cred - Corolla1 0002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R430" t="str">
            <v>9500/180</v>
          </cell>
          <cell r="S430" t="str">
            <v>Sundry Cred - Corolla2 0004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R431" t="str">
            <v>9500/200</v>
          </cell>
          <cell r="S431" t="str">
            <v>Sundry Cred - Syspro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R432" t="str">
            <v>9500/400</v>
          </cell>
          <cell r="S432" t="str">
            <v>Provision Audit Fees</v>
          </cell>
          <cell r="U432">
            <v>-146496</v>
          </cell>
          <cell r="V432">
            <v>-12096</v>
          </cell>
          <cell r="W432">
            <v>-12096</v>
          </cell>
          <cell r="X432">
            <v>121832</v>
          </cell>
          <cell r="Y432">
            <v>-12568</v>
          </cell>
          <cell r="Z432">
            <v>-12568</v>
          </cell>
          <cell r="AA432">
            <v>-12568</v>
          </cell>
          <cell r="AB432">
            <v>-12568</v>
          </cell>
          <cell r="AC432">
            <v>-12568</v>
          </cell>
          <cell r="AD432">
            <v>-12568</v>
          </cell>
          <cell r="AE432">
            <v>-12568</v>
          </cell>
          <cell r="AF432">
            <v>-12568</v>
          </cell>
          <cell r="AG432">
            <v>-149400</v>
          </cell>
        </row>
        <row r="433">
          <cell r="R433" t="str">
            <v>9500/450</v>
          </cell>
          <cell r="S433" t="str">
            <v>Provsion - Bad Debts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R434" t="str">
            <v>9500/500</v>
          </cell>
          <cell r="S434" t="str">
            <v>Unrealised Exchange Variance</v>
          </cell>
          <cell r="U434">
            <v>-73758.86</v>
          </cell>
          <cell r="V434">
            <v>-7438.1100000000006</v>
          </cell>
          <cell r="W434">
            <v>306165.69</v>
          </cell>
          <cell r="X434">
            <v>-115552.06</v>
          </cell>
          <cell r="Y434">
            <v>-92169.52</v>
          </cell>
          <cell r="Z434">
            <v>35326.01</v>
          </cell>
          <cell r="AA434">
            <v>-52573.15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R435" t="str">
            <v>9500/600</v>
          </cell>
          <cell r="S435" t="str">
            <v>RADUS - Commission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</row>
        <row r="436">
          <cell r="R436" t="str">
            <v>9500/700</v>
          </cell>
          <cell r="S436" t="str">
            <v>Agents - Commission</v>
          </cell>
          <cell r="U436">
            <v>-241190.49</v>
          </cell>
          <cell r="V436">
            <v>-109079.10000000003</v>
          </cell>
          <cell r="W436">
            <v>-41505.009999999951</v>
          </cell>
          <cell r="X436">
            <v>-191083.58999999997</v>
          </cell>
          <cell r="Y436">
            <v>6126.6199999999953</v>
          </cell>
          <cell r="Z436">
            <v>66396.879999999946</v>
          </cell>
          <cell r="AA436">
            <v>86180.270000000019</v>
          </cell>
          <cell r="AB436">
            <v>26796.119999999995</v>
          </cell>
          <cell r="AC436">
            <v>71056.719999999972</v>
          </cell>
          <cell r="AD436">
            <v>68001.98000000001</v>
          </cell>
          <cell r="AE436">
            <v>57950.899999999994</v>
          </cell>
          <cell r="AF436">
            <v>-119576.14999999997</v>
          </cell>
          <cell r="AG436">
            <v>-319924.84999999998</v>
          </cell>
        </row>
        <row r="437">
          <cell r="R437" t="str">
            <v>9600/000</v>
          </cell>
          <cell r="S437" t="str">
            <v>Input VAT - Goods&amp;Services</v>
          </cell>
          <cell r="U437">
            <v>1000409.78</v>
          </cell>
          <cell r="V437">
            <v>-225094.54000000004</v>
          </cell>
          <cell r="W437">
            <v>207324.62</v>
          </cell>
          <cell r="X437">
            <v>-51918.390000000014</v>
          </cell>
          <cell r="Y437">
            <v>88649.930000000051</v>
          </cell>
          <cell r="Z437">
            <v>-237010.05000000005</v>
          </cell>
          <cell r="AA437">
            <v>71625.830000000075</v>
          </cell>
          <cell r="AB437">
            <v>154727.39999999991</v>
          </cell>
          <cell r="AC437">
            <v>7647.2900000000373</v>
          </cell>
          <cell r="AD437">
            <v>-746471.88</v>
          </cell>
          <cell r="AE437">
            <v>256746.42000000004</v>
          </cell>
          <cell r="AF437">
            <v>-526636.41</v>
          </cell>
          <cell r="AG437">
            <v>0</v>
          </cell>
        </row>
        <row r="438">
          <cell r="R438" t="str">
            <v>9600/050</v>
          </cell>
          <cell r="S438" t="str">
            <v>Input VAT - Zero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R439" t="str">
            <v>9600/100</v>
          </cell>
          <cell r="S439" t="str">
            <v>Input VAT - Capital Goods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</row>
        <row r="440">
          <cell r="R440" t="str">
            <v>9600/150</v>
          </cell>
          <cell r="S440" t="str">
            <v>Output VAT - Goods&amp;Service</v>
          </cell>
          <cell r="U440">
            <v>-922336.94</v>
          </cell>
          <cell r="V440">
            <v>-422447.30000000005</v>
          </cell>
          <cell r="W440">
            <v>-296222.37000000011</v>
          </cell>
          <cell r="X440">
            <v>13332.180000000168</v>
          </cell>
          <cell r="Y440">
            <v>-49027.170000000158</v>
          </cell>
          <cell r="Z440">
            <v>289599.66000000015</v>
          </cell>
          <cell r="AA440">
            <v>-462853.25</v>
          </cell>
          <cell r="AB440">
            <v>525724.09999999986</v>
          </cell>
          <cell r="AC440">
            <v>-657124.22</v>
          </cell>
          <cell r="AD440">
            <v>1573730.33</v>
          </cell>
          <cell r="AE440">
            <v>-194290.02000000002</v>
          </cell>
          <cell r="AF440">
            <v>601915</v>
          </cell>
          <cell r="AG440">
            <v>0</v>
          </cell>
        </row>
        <row r="441">
          <cell r="R441" t="str">
            <v>9600/200</v>
          </cell>
          <cell r="S441" t="str">
            <v>Output VAT - Zero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R442" t="str">
            <v>9600/250</v>
          </cell>
          <cell r="S442" t="str">
            <v>Output VAT - Capital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</row>
        <row r="443">
          <cell r="R443" t="str">
            <v>9600/500</v>
          </cell>
          <cell r="S443" t="str">
            <v>VAT Control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-445549.48</v>
          </cell>
          <cell r="AG443">
            <v>-445549.48</v>
          </cell>
        </row>
        <row r="444">
          <cell r="R444" t="str">
            <v>9999/000</v>
          </cell>
          <cell r="S444" t="str">
            <v>Forced balance account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R445">
            <v>0</v>
          </cell>
          <cell r="S445">
            <v>0</v>
          </cell>
          <cell r="U445" t="e">
            <v>#N/A</v>
          </cell>
          <cell r="V445" t="e">
            <v>#N/A</v>
          </cell>
          <cell r="W445" t="e">
            <v>#N/A</v>
          </cell>
          <cell r="X445" t="e">
            <v>#N/A</v>
          </cell>
          <cell r="Y445" t="e">
            <v>#N/A</v>
          </cell>
          <cell r="Z445" t="e">
            <v>#N/A</v>
          </cell>
          <cell r="AA445" t="e">
            <v>#N/A</v>
          </cell>
          <cell r="AB445" t="e">
            <v>#N/A</v>
          </cell>
          <cell r="AC445" t="e">
            <v>#N/A</v>
          </cell>
          <cell r="AD445" t="e">
            <v>#N/A</v>
          </cell>
          <cell r="AE445" t="e">
            <v>#N/A</v>
          </cell>
          <cell r="AF445" t="e">
            <v>#N/A</v>
          </cell>
          <cell r="AG445" t="e">
            <v>#N/A</v>
          </cell>
        </row>
        <row r="446">
          <cell r="R446">
            <v>0</v>
          </cell>
          <cell r="S446">
            <v>0</v>
          </cell>
          <cell r="U446" t="e">
            <v>#N/A</v>
          </cell>
          <cell r="V446" t="e">
            <v>#N/A</v>
          </cell>
          <cell r="W446" t="e">
            <v>#N/A</v>
          </cell>
          <cell r="X446" t="e">
            <v>#N/A</v>
          </cell>
          <cell r="Y446" t="e">
            <v>#N/A</v>
          </cell>
          <cell r="Z446" t="e">
            <v>#N/A</v>
          </cell>
          <cell r="AA446" t="e">
            <v>#N/A</v>
          </cell>
          <cell r="AB446" t="e">
            <v>#N/A</v>
          </cell>
          <cell r="AC446" t="e">
            <v>#N/A</v>
          </cell>
          <cell r="AD446" t="e">
            <v>#N/A</v>
          </cell>
          <cell r="AE446" t="e">
            <v>#N/A</v>
          </cell>
          <cell r="AF446" t="e">
            <v>#N/A</v>
          </cell>
          <cell r="AG446" t="e">
            <v>#N/A</v>
          </cell>
        </row>
        <row r="447">
          <cell r="R447">
            <v>0</v>
          </cell>
          <cell r="S447">
            <v>0</v>
          </cell>
          <cell r="U447" t="e">
            <v>#N/A</v>
          </cell>
          <cell r="V447" t="e">
            <v>#N/A</v>
          </cell>
          <cell r="W447" t="e">
            <v>#N/A</v>
          </cell>
          <cell r="X447" t="e">
            <v>#N/A</v>
          </cell>
          <cell r="Y447" t="e">
            <v>#N/A</v>
          </cell>
          <cell r="Z447" t="e">
            <v>#N/A</v>
          </cell>
          <cell r="AA447" t="e">
            <v>#N/A</v>
          </cell>
          <cell r="AB447" t="e">
            <v>#N/A</v>
          </cell>
          <cell r="AC447" t="e">
            <v>#N/A</v>
          </cell>
          <cell r="AD447" t="e">
            <v>#N/A</v>
          </cell>
          <cell r="AE447" t="e">
            <v>#N/A</v>
          </cell>
          <cell r="AF447" t="e">
            <v>#N/A</v>
          </cell>
          <cell r="AG447" t="e">
            <v>#N/A</v>
          </cell>
        </row>
        <row r="448">
          <cell r="R448">
            <v>0</v>
          </cell>
          <cell r="S448">
            <v>0</v>
          </cell>
          <cell r="U448" t="e">
            <v>#N/A</v>
          </cell>
          <cell r="V448" t="e">
            <v>#N/A</v>
          </cell>
          <cell r="W448" t="e">
            <v>#N/A</v>
          </cell>
          <cell r="X448" t="e">
            <v>#N/A</v>
          </cell>
          <cell r="Y448" t="e">
            <v>#N/A</v>
          </cell>
          <cell r="Z448" t="e">
            <v>#N/A</v>
          </cell>
          <cell r="AA448" t="e">
            <v>#N/A</v>
          </cell>
          <cell r="AB448" t="e">
            <v>#N/A</v>
          </cell>
          <cell r="AC448" t="e">
            <v>#N/A</v>
          </cell>
          <cell r="AD448" t="e">
            <v>#N/A</v>
          </cell>
          <cell r="AE448" t="e">
            <v>#N/A</v>
          </cell>
          <cell r="AF448" t="e">
            <v>#N/A</v>
          </cell>
          <cell r="AG448" t="e">
            <v>#N/A</v>
          </cell>
        </row>
        <row r="449">
          <cell r="R449">
            <v>0</v>
          </cell>
          <cell r="S449">
            <v>0</v>
          </cell>
          <cell r="U449" t="e">
            <v>#N/A</v>
          </cell>
          <cell r="V449" t="e">
            <v>#N/A</v>
          </cell>
          <cell r="W449" t="e">
            <v>#N/A</v>
          </cell>
          <cell r="X449" t="e">
            <v>#N/A</v>
          </cell>
          <cell r="Y449" t="e">
            <v>#N/A</v>
          </cell>
          <cell r="Z449" t="e">
            <v>#N/A</v>
          </cell>
          <cell r="AA449" t="e">
            <v>#N/A</v>
          </cell>
          <cell r="AB449" t="e">
            <v>#N/A</v>
          </cell>
          <cell r="AC449" t="e">
            <v>#N/A</v>
          </cell>
          <cell r="AD449" t="e">
            <v>#N/A</v>
          </cell>
          <cell r="AE449" t="e">
            <v>#N/A</v>
          </cell>
          <cell r="AF449" t="e">
            <v>#N/A</v>
          </cell>
          <cell r="AG449" t="e">
            <v>#N/A</v>
          </cell>
        </row>
        <row r="450">
          <cell r="R450">
            <v>0</v>
          </cell>
          <cell r="S450">
            <v>0</v>
          </cell>
          <cell r="U450" t="e">
            <v>#N/A</v>
          </cell>
          <cell r="V450" t="e">
            <v>#N/A</v>
          </cell>
          <cell r="W450" t="e">
            <v>#N/A</v>
          </cell>
          <cell r="X450" t="e">
            <v>#N/A</v>
          </cell>
          <cell r="Y450" t="e">
            <v>#N/A</v>
          </cell>
          <cell r="Z450" t="e">
            <v>#N/A</v>
          </cell>
          <cell r="AA450" t="e">
            <v>#N/A</v>
          </cell>
          <cell r="AB450" t="e">
            <v>#N/A</v>
          </cell>
          <cell r="AC450" t="e">
            <v>#N/A</v>
          </cell>
          <cell r="AD450" t="e">
            <v>#N/A</v>
          </cell>
          <cell r="AE450" t="e">
            <v>#N/A</v>
          </cell>
          <cell r="AF450" t="e">
            <v>#N/A</v>
          </cell>
          <cell r="AG450" t="e">
            <v>#N/A</v>
          </cell>
        </row>
        <row r="451">
          <cell r="R451">
            <v>0</v>
          </cell>
          <cell r="S451">
            <v>0</v>
          </cell>
          <cell r="U451" t="e">
            <v>#N/A</v>
          </cell>
          <cell r="V451" t="e">
            <v>#N/A</v>
          </cell>
          <cell r="W451" t="e">
            <v>#N/A</v>
          </cell>
          <cell r="X451" t="e">
            <v>#N/A</v>
          </cell>
          <cell r="Y451" t="e">
            <v>#N/A</v>
          </cell>
          <cell r="Z451" t="e">
            <v>#N/A</v>
          </cell>
          <cell r="AA451" t="e">
            <v>#N/A</v>
          </cell>
          <cell r="AB451" t="e">
            <v>#N/A</v>
          </cell>
          <cell r="AC451" t="e">
            <v>#N/A</v>
          </cell>
          <cell r="AD451" t="e">
            <v>#N/A</v>
          </cell>
          <cell r="AE451" t="e">
            <v>#N/A</v>
          </cell>
          <cell r="AF451" t="e">
            <v>#N/A</v>
          </cell>
          <cell r="AG451" t="e">
            <v>#N/A</v>
          </cell>
        </row>
        <row r="452">
          <cell r="R452">
            <v>0</v>
          </cell>
          <cell r="S452">
            <v>0</v>
          </cell>
          <cell r="U452" t="e">
            <v>#N/A</v>
          </cell>
          <cell r="V452" t="e">
            <v>#N/A</v>
          </cell>
          <cell r="W452" t="e">
            <v>#N/A</v>
          </cell>
          <cell r="X452" t="e">
            <v>#N/A</v>
          </cell>
          <cell r="Y452" t="e">
            <v>#N/A</v>
          </cell>
          <cell r="Z452" t="e">
            <v>#N/A</v>
          </cell>
          <cell r="AA452" t="e">
            <v>#N/A</v>
          </cell>
          <cell r="AB452" t="e">
            <v>#N/A</v>
          </cell>
          <cell r="AC452" t="e">
            <v>#N/A</v>
          </cell>
          <cell r="AD452" t="e">
            <v>#N/A</v>
          </cell>
          <cell r="AE452" t="e">
            <v>#N/A</v>
          </cell>
          <cell r="AF452" t="e">
            <v>#N/A</v>
          </cell>
          <cell r="AG452" t="e">
            <v>#N/A</v>
          </cell>
        </row>
        <row r="453">
          <cell r="R453">
            <v>0</v>
          </cell>
          <cell r="S453">
            <v>0</v>
          </cell>
          <cell r="U453" t="e">
            <v>#N/A</v>
          </cell>
          <cell r="V453" t="e">
            <v>#N/A</v>
          </cell>
          <cell r="W453" t="e">
            <v>#N/A</v>
          </cell>
          <cell r="X453" t="e">
            <v>#N/A</v>
          </cell>
          <cell r="Y453" t="e">
            <v>#N/A</v>
          </cell>
          <cell r="Z453" t="e">
            <v>#N/A</v>
          </cell>
          <cell r="AA453" t="e">
            <v>#N/A</v>
          </cell>
          <cell r="AB453" t="e">
            <v>#N/A</v>
          </cell>
          <cell r="AC453" t="e">
            <v>#N/A</v>
          </cell>
          <cell r="AD453" t="e">
            <v>#N/A</v>
          </cell>
          <cell r="AE453" t="e">
            <v>#N/A</v>
          </cell>
          <cell r="AF453" t="e">
            <v>#N/A</v>
          </cell>
          <cell r="AG453" t="e">
            <v>#N/A</v>
          </cell>
        </row>
        <row r="454">
          <cell r="R454">
            <v>0</v>
          </cell>
          <cell r="S454">
            <v>0</v>
          </cell>
          <cell r="U454" t="e">
            <v>#N/A</v>
          </cell>
          <cell r="V454" t="e">
            <v>#N/A</v>
          </cell>
          <cell r="W454" t="e">
            <v>#N/A</v>
          </cell>
          <cell r="X454" t="e">
            <v>#N/A</v>
          </cell>
          <cell r="Y454" t="e">
            <v>#N/A</v>
          </cell>
          <cell r="Z454" t="e">
            <v>#N/A</v>
          </cell>
          <cell r="AA454" t="e">
            <v>#N/A</v>
          </cell>
          <cell r="AB454" t="e">
            <v>#N/A</v>
          </cell>
          <cell r="AC454" t="e">
            <v>#N/A</v>
          </cell>
          <cell r="AD454" t="e">
            <v>#N/A</v>
          </cell>
          <cell r="AE454" t="e">
            <v>#N/A</v>
          </cell>
          <cell r="AF454" t="e">
            <v>#N/A</v>
          </cell>
          <cell r="AG454" t="e">
            <v>#N/A</v>
          </cell>
        </row>
        <row r="455">
          <cell r="R455">
            <v>0</v>
          </cell>
          <cell r="S455">
            <v>0</v>
          </cell>
          <cell r="U455" t="e">
            <v>#N/A</v>
          </cell>
          <cell r="V455" t="e">
            <v>#N/A</v>
          </cell>
          <cell r="W455" t="e">
            <v>#N/A</v>
          </cell>
          <cell r="X455" t="e">
            <v>#N/A</v>
          </cell>
          <cell r="Y455" t="e">
            <v>#N/A</v>
          </cell>
          <cell r="Z455" t="e">
            <v>#N/A</v>
          </cell>
          <cell r="AA455" t="e">
            <v>#N/A</v>
          </cell>
          <cell r="AB455" t="e">
            <v>#N/A</v>
          </cell>
          <cell r="AC455" t="e">
            <v>#N/A</v>
          </cell>
          <cell r="AD455" t="e">
            <v>#N/A</v>
          </cell>
          <cell r="AE455" t="e">
            <v>#N/A</v>
          </cell>
          <cell r="AF455" t="e">
            <v>#N/A</v>
          </cell>
          <cell r="AG455" t="e">
            <v>#N/A</v>
          </cell>
        </row>
        <row r="456">
          <cell r="R456">
            <v>0</v>
          </cell>
          <cell r="S456">
            <v>0</v>
          </cell>
          <cell r="U456" t="e">
            <v>#N/A</v>
          </cell>
          <cell r="V456" t="e">
            <v>#N/A</v>
          </cell>
          <cell r="W456" t="e">
            <v>#N/A</v>
          </cell>
          <cell r="X456" t="e">
            <v>#N/A</v>
          </cell>
          <cell r="Y456" t="e">
            <v>#N/A</v>
          </cell>
          <cell r="Z456" t="e">
            <v>#N/A</v>
          </cell>
          <cell r="AA456" t="e">
            <v>#N/A</v>
          </cell>
          <cell r="AB456" t="e">
            <v>#N/A</v>
          </cell>
          <cell r="AC456" t="e">
            <v>#N/A</v>
          </cell>
          <cell r="AD456" t="e">
            <v>#N/A</v>
          </cell>
          <cell r="AE456" t="e">
            <v>#N/A</v>
          </cell>
          <cell r="AF456" t="e">
            <v>#N/A</v>
          </cell>
          <cell r="AG456" t="e">
            <v>#N/A</v>
          </cell>
        </row>
        <row r="457">
          <cell r="R457">
            <v>0</v>
          </cell>
          <cell r="S457">
            <v>0</v>
          </cell>
          <cell r="U457" t="e">
            <v>#N/A</v>
          </cell>
          <cell r="V457" t="e">
            <v>#N/A</v>
          </cell>
          <cell r="W457" t="e">
            <v>#N/A</v>
          </cell>
          <cell r="X457" t="e">
            <v>#N/A</v>
          </cell>
          <cell r="Y457" t="e">
            <v>#N/A</v>
          </cell>
          <cell r="Z457" t="e">
            <v>#N/A</v>
          </cell>
          <cell r="AA457" t="e">
            <v>#N/A</v>
          </cell>
          <cell r="AB457" t="e">
            <v>#N/A</v>
          </cell>
          <cell r="AC457" t="e">
            <v>#N/A</v>
          </cell>
          <cell r="AD457" t="e">
            <v>#N/A</v>
          </cell>
          <cell r="AE457" t="e">
            <v>#N/A</v>
          </cell>
          <cell r="AF457" t="e">
            <v>#N/A</v>
          </cell>
          <cell r="AG457" t="e">
            <v>#N/A</v>
          </cell>
        </row>
        <row r="458">
          <cell r="R458">
            <v>0</v>
          </cell>
          <cell r="S458">
            <v>0</v>
          </cell>
          <cell r="U458" t="e">
            <v>#N/A</v>
          </cell>
          <cell r="V458" t="e">
            <v>#N/A</v>
          </cell>
          <cell r="W458" t="e">
            <v>#N/A</v>
          </cell>
          <cell r="X458" t="e">
            <v>#N/A</v>
          </cell>
          <cell r="Y458" t="e">
            <v>#N/A</v>
          </cell>
          <cell r="Z458" t="e">
            <v>#N/A</v>
          </cell>
          <cell r="AA458" t="e">
            <v>#N/A</v>
          </cell>
          <cell r="AB458" t="e">
            <v>#N/A</v>
          </cell>
          <cell r="AC458" t="e">
            <v>#N/A</v>
          </cell>
          <cell r="AD458" t="e">
            <v>#N/A</v>
          </cell>
          <cell r="AE458" t="e">
            <v>#N/A</v>
          </cell>
          <cell r="AF458" t="e">
            <v>#N/A</v>
          </cell>
          <cell r="AG458" t="e">
            <v>#N/A</v>
          </cell>
        </row>
        <row r="459">
          <cell r="R459">
            <v>0</v>
          </cell>
          <cell r="S459">
            <v>0</v>
          </cell>
          <cell r="U459" t="e">
            <v>#N/A</v>
          </cell>
          <cell r="V459" t="e">
            <v>#N/A</v>
          </cell>
          <cell r="W459" t="e">
            <v>#N/A</v>
          </cell>
          <cell r="X459" t="e">
            <v>#N/A</v>
          </cell>
          <cell r="Y459" t="e">
            <v>#N/A</v>
          </cell>
          <cell r="Z459" t="e">
            <v>#N/A</v>
          </cell>
          <cell r="AA459" t="e">
            <v>#N/A</v>
          </cell>
          <cell r="AB459" t="e">
            <v>#N/A</v>
          </cell>
          <cell r="AC459" t="e">
            <v>#N/A</v>
          </cell>
          <cell r="AD459" t="e">
            <v>#N/A</v>
          </cell>
          <cell r="AE459" t="e">
            <v>#N/A</v>
          </cell>
          <cell r="AF459" t="e">
            <v>#N/A</v>
          </cell>
          <cell r="AG459" t="e">
            <v>#N/A</v>
          </cell>
        </row>
        <row r="460">
          <cell r="R460">
            <v>0</v>
          </cell>
          <cell r="S460">
            <v>0</v>
          </cell>
          <cell r="U460" t="e">
            <v>#N/A</v>
          </cell>
          <cell r="V460" t="e">
            <v>#N/A</v>
          </cell>
          <cell r="W460" t="e">
            <v>#N/A</v>
          </cell>
          <cell r="X460" t="e">
            <v>#N/A</v>
          </cell>
          <cell r="Y460" t="e">
            <v>#N/A</v>
          </cell>
          <cell r="Z460" t="e">
            <v>#N/A</v>
          </cell>
          <cell r="AA460" t="e">
            <v>#N/A</v>
          </cell>
          <cell r="AB460" t="e">
            <v>#N/A</v>
          </cell>
          <cell r="AC460" t="e">
            <v>#N/A</v>
          </cell>
          <cell r="AD460" t="e">
            <v>#N/A</v>
          </cell>
          <cell r="AE460" t="e">
            <v>#N/A</v>
          </cell>
          <cell r="AF460" t="e">
            <v>#N/A</v>
          </cell>
          <cell r="AG460" t="e">
            <v>#N/A</v>
          </cell>
        </row>
        <row r="461">
          <cell r="R461">
            <v>0</v>
          </cell>
          <cell r="S461">
            <v>0</v>
          </cell>
          <cell r="U461" t="e">
            <v>#N/A</v>
          </cell>
          <cell r="V461" t="e">
            <v>#N/A</v>
          </cell>
          <cell r="W461" t="e">
            <v>#N/A</v>
          </cell>
          <cell r="X461" t="e">
            <v>#N/A</v>
          </cell>
          <cell r="Y461" t="e">
            <v>#N/A</v>
          </cell>
          <cell r="Z461" t="e">
            <v>#N/A</v>
          </cell>
          <cell r="AA461" t="e">
            <v>#N/A</v>
          </cell>
          <cell r="AB461" t="e">
            <v>#N/A</v>
          </cell>
          <cell r="AC461" t="e">
            <v>#N/A</v>
          </cell>
          <cell r="AD461" t="e">
            <v>#N/A</v>
          </cell>
          <cell r="AE461" t="e">
            <v>#N/A</v>
          </cell>
          <cell r="AF461" t="e">
            <v>#N/A</v>
          </cell>
          <cell r="AG461" t="e">
            <v>#N/A</v>
          </cell>
        </row>
        <row r="462">
          <cell r="R462">
            <v>0</v>
          </cell>
          <cell r="S462">
            <v>0</v>
          </cell>
          <cell r="U462" t="e">
            <v>#N/A</v>
          </cell>
          <cell r="V462" t="e">
            <v>#N/A</v>
          </cell>
          <cell r="W462" t="e">
            <v>#N/A</v>
          </cell>
          <cell r="X462" t="e">
            <v>#N/A</v>
          </cell>
          <cell r="Y462" t="e">
            <v>#N/A</v>
          </cell>
          <cell r="Z462" t="e">
            <v>#N/A</v>
          </cell>
          <cell r="AA462" t="e">
            <v>#N/A</v>
          </cell>
          <cell r="AB462" t="e">
            <v>#N/A</v>
          </cell>
          <cell r="AC462" t="e">
            <v>#N/A</v>
          </cell>
          <cell r="AD462" t="e">
            <v>#N/A</v>
          </cell>
          <cell r="AE462" t="e">
            <v>#N/A</v>
          </cell>
          <cell r="AF462" t="e">
            <v>#N/A</v>
          </cell>
          <cell r="AG462" t="e">
            <v>#N/A</v>
          </cell>
        </row>
        <row r="463">
          <cell r="R463">
            <v>0</v>
          </cell>
          <cell r="S463">
            <v>0</v>
          </cell>
          <cell r="U463" t="e">
            <v>#N/A</v>
          </cell>
          <cell r="V463" t="e">
            <v>#N/A</v>
          </cell>
          <cell r="W463" t="e">
            <v>#N/A</v>
          </cell>
          <cell r="X463" t="e">
            <v>#N/A</v>
          </cell>
          <cell r="Y463" t="e">
            <v>#N/A</v>
          </cell>
          <cell r="Z463" t="e">
            <v>#N/A</v>
          </cell>
          <cell r="AA463" t="e">
            <v>#N/A</v>
          </cell>
          <cell r="AB463" t="e">
            <v>#N/A</v>
          </cell>
          <cell r="AC463" t="e">
            <v>#N/A</v>
          </cell>
          <cell r="AD463" t="e">
            <v>#N/A</v>
          </cell>
          <cell r="AE463" t="e">
            <v>#N/A</v>
          </cell>
          <cell r="AF463" t="e">
            <v>#N/A</v>
          </cell>
          <cell r="AG463" t="e">
            <v>#N/A</v>
          </cell>
        </row>
        <row r="464">
          <cell r="R464">
            <v>0</v>
          </cell>
          <cell r="S464">
            <v>0</v>
          </cell>
          <cell r="U464" t="e">
            <v>#N/A</v>
          </cell>
          <cell r="V464" t="e">
            <v>#N/A</v>
          </cell>
          <cell r="W464" t="e">
            <v>#N/A</v>
          </cell>
          <cell r="X464" t="e">
            <v>#N/A</v>
          </cell>
          <cell r="Y464" t="e">
            <v>#N/A</v>
          </cell>
          <cell r="Z464" t="e">
            <v>#N/A</v>
          </cell>
          <cell r="AA464" t="e">
            <v>#N/A</v>
          </cell>
          <cell r="AB464" t="e">
            <v>#N/A</v>
          </cell>
          <cell r="AC464" t="e">
            <v>#N/A</v>
          </cell>
          <cell r="AD464" t="e">
            <v>#N/A</v>
          </cell>
          <cell r="AE464" t="e">
            <v>#N/A</v>
          </cell>
          <cell r="AF464" t="e">
            <v>#N/A</v>
          </cell>
          <cell r="AG464" t="e">
            <v>#N/A</v>
          </cell>
        </row>
        <row r="465">
          <cell r="R465">
            <v>0</v>
          </cell>
          <cell r="S465">
            <v>0</v>
          </cell>
          <cell r="U465" t="e">
            <v>#N/A</v>
          </cell>
          <cell r="V465" t="e">
            <v>#N/A</v>
          </cell>
          <cell r="W465" t="e">
            <v>#N/A</v>
          </cell>
          <cell r="X465" t="e">
            <v>#N/A</v>
          </cell>
          <cell r="Y465" t="e">
            <v>#N/A</v>
          </cell>
          <cell r="Z465" t="e">
            <v>#N/A</v>
          </cell>
          <cell r="AA465" t="e">
            <v>#N/A</v>
          </cell>
          <cell r="AB465" t="e">
            <v>#N/A</v>
          </cell>
          <cell r="AC465" t="e">
            <v>#N/A</v>
          </cell>
          <cell r="AD465" t="e">
            <v>#N/A</v>
          </cell>
          <cell r="AE465" t="e">
            <v>#N/A</v>
          </cell>
          <cell r="AF465" t="e">
            <v>#N/A</v>
          </cell>
          <cell r="AG465" t="e">
            <v>#N/A</v>
          </cell>
        </row>
        <row r="466">
          <cell r="R466">
            <v>0</v>
          </cell>
          <cell r="S466">
            <v>0</v>
          </cell>
          <cell r="U466" t="e">
            <v>#N/A</v>
          </cell>
          <cell r="V466" t="e">
            <v>#N/A</v>
          </cell>
          <cell r="W466" t="e">
            <v>#N/A</v>
          </cell>
          <cell r="X466" t="e">
            <v>#N/A</v>
          </cell>
          <cell r="Y466" t="e">
            <v>#N/A</v>
          </cell>
          <cell r="Z466" t="e">
            <v>#N/A</v>
          </cell>
          <cell r="AA466" t="e">
            <v>#N/A</v>
          </cell>
          <cell r="AB466" t="e">
            <v>#N/A</v>
          </cell>
          <cell r="AC466" t="e">
            <v>#N/A</v>
          </cell>
          <cell r="AD466" t="e">
            <v>#N/A</v>
          </cell>
          <cell r="AE466" t="e">
            <v>#N/A</v>
          </cell>
          <cell r="AF466" t="e">
            <v>#N/A</v>
          </cell>
          <cell r="AG466" t="e">
            <v>#N/A</v>
          </cell>
        </row>
        <row r="467">
          <cell r="R467">
            <v>0</v>
          </cell>
          <cell r="S467">
            <v>0</v>
          </cell>
          <cell r="U467" t="e">
            <v>#N/A</v>
          </cell>
          <cell r="V467" t="e">
            <v>#N/A</v>
          </cell>
          <cell r="W467" t="e">
            <v>#N/A</v>
          </cell>
          <cell r="X467" t="e">
            <v>#N/A</v>
          </cell>
          <cell r="Y467" t="e">
            <v>#N/A</v>
          </cell>
          <cell r="Z467" t="e">
            <v>#N/A</v>
          </cell>
          <cell r="AA467" t="e">
            <v>#N/A</v>
          </cell>
          <cell r="AB467" t="e">
            <v>#N/A</v>
          </cell>
          <cell r="AC467" t="e">
            <v>#N/A</v>
          </cell>
          <cell r="AD467" t="e">
            <v>#N/A</v>
          </cell>
          <cell r="AE467" t="e">
            <v>#N/A</v>
          </cell>
          <cell r="AF467" t="e">
            <v>#N/A</v>
          </cell>
          <cell r="AG467" t="e">
            <v>#N/A</v>
          </cell>
        </row>
        <row r="468">
          <cell r="R468">
            <v>0</v>
          </cell>
          <cell r="S468">
            <v>0</v>
          </cell>
          <cell r="U468" t="e">
            <v>#N/A</v>
          </cell>
          <cell r="V468" t="e">
            <v>#N/A</v>
          </cell>
          <cell r="W468" t="e">
            <v>#N/A</v>
          </cell>
          <cell r="X468" t="e">
            <v>#N/A</v>
          </cell>
          <cell r="Y468" t="e">
            <v>#N/A</v>
          </cell>
          <cell r="Z468" t="e">
            <v>#N/A</v>
          </cell>
          <cell r="AA468" t="e">
            <v>#N/A</v>
          </cell>
          <cell r="AB468" t="e">
            <v>#N/A</v>
          </cell>
          <cell r="AC468" t="e">
            <v>#N/A</v>
          </cell>
          <cell r="AD468" t="e">
            <v>#N/A</v>
          </cell>
          <cell r="AE468" t="e">
            <v>#N/A</v>
          </cell>
          <cell r="AF468" t="e">
            <v>#N/A</v>
          </cell>
          <cell r="AG468" t="e">
            <v>#N/A</v>
          </cell>
        </row>
        <row r="469">
          <cell r="R469">
            <v>0</v>
          </cell>
          <cell r="S469">
            <v>0</v>
          </cell>
          <cell r="U469" t="e">
            <v>#N/A</v>
          </cell>
          <cell r="V469" t="e">
            <v>#N/A</v>
          </cell>
          <cell r="W469" t="e">
            <v>#N/A</v>
          </cell>
          <cell r="X469" t="e">
            <v>#N/A</v>
          </cell>
          <cell r="Y469" t="e">
            <v>#N/A</v>
          </cell>
          <cell r="Z469" t="e">
            <v>#N/A</v>
          </cell>
          <cell r="AA469" t="e">
            <v>#N/A</v>
          </cell>
          <cell r="AB469" t="e">
            <v>#N/A</v>
          </cell>
          <cell r="AC469" t="e">
            <v>#N/A</v>
          </cell>
          <cell r="AD469" t="e">
            <v>#N/A</v>
          </cell>
          <cell r="AE469" t="e">
            <v>#N/A</v>
          </cell>
          <cell r="AF469" t="e">
            <v>#N/A</v>
          </cell>
          <cell r="AG469" t="e">
            <v>#N/A</v>
          </cell>
        </row>
        <row r="470">
          <cell r="R470">
            <v>0</v>
          </cell>
          <cell r="S470">
            <v>0</v>
          </cell>
          <cell r="U470" t="e">
            <v>#N/A</v>
          </cell>
          <cell r="V470" t="e">
            <v>#N/A</v>
          </cell>
          <cell r="W470" t="e">
            <v>#N/A</v>
          </cell>
          <cell r="X470" t="e">
            <v>#N/A</v>
          </cell>
          <cell r="Y470" t="e">
            <v>#N/A</v>
          </cell>
          <cell r="Z470" t="e">
            <v>#N/A</v>
          </cell>
          <cell r="AA470" t="e">
            <v>#N/A</v>
          </cell>
          <cell r="AB470" t="e">
            <v>#N/A</v>
          </cell>
          <cell r="AC470" t="e">
            <v>#N/A</v>
          </cell>
          <cell r="AD470" t="e">
            <v>#N/A</v>
          </cell>
          <cell r="AE470" t="e">
            <v>#N/A</v>
          </cell>
          <cell r="AF470" t="e">
            <v>#N/A</v>
          </cell>
          <cell r="AG470" t="e">
            <v>#N/A</v>
          </cell>
        </row>
        <row r="471">
          <cell r="R471">
            <v>0</v>
          </cell>
          <cell r="S471">
            <v>0</v>
          </cell>
          <cell r="U471" t="e">
            <v>#N/A</v>
          </cell>
          <cell r="V471" t="e">
            <v>#N/A</v>
          </cell>
          <cell r="W471" t="e">
            <v>#N/A</v>
          </cell>
          <cell r="X471" t="e">
            <v>#N/A</v>
          </cell>
          <cell r="Y471" t="e">
            <v>#N/A</v>
          </cell>
          <cell r="Z471" t="e">
            <v>#N/A</v>
          </cell>
          <cell r="AA471" t="e">
            <v>#N/A</v>
          </cell>
          <cell r="AB471" t="e">
            <v>#N/A</v>
          </cell>
          <cell r="AC471" t="e">
            <v>#N/A</v>
          </cell>
          <cell r="AD471" t="e">
            <v>#N/A</v>
          </cell>
          <cell r="AE471" t="e">
            <v>#N/A</v>
          </cell>
          <cell r="AF471" t="e">
            <v>#N/A</v>
          </cell>
          <cell r="AG471" t="e">
            <v>#N/A</v>
          </cell>
        </row>
        <row r="472">
          <cell r="R472">
            <v>0</v>
          </cell>
          <cell r="S472">
            <v>0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  <cell r="Y472" t="e">
            <v>#N/A</v>
          </cell>
          <cell r="Z472" t="e">
            <v>#N/A</v>
          </cell>
          <cell r="AA472" t="e">
            <v>#N/A</v>
          </cell>
          <cell r="AB472" t="e">
            <v>#N/A</v>
          </cell>
          <cell r="AC472" t="e">
            <v>#N/A</v>
          </cell>
          <cell r="AD472" t="e">
            <v>#N/A</v>
          </cell>
          <cell r="AE472" t="e">
            <v>#N/A</v>
          </cell>
          <cell r="AF472" t="e">
            <v>#N/A</v>
          </cell>
          <cell r="AG472" t="e">
            <v>#N/A</v>
          </cell>
        </row>
        <row r="473">
          <cell r="R473">
            <v>0</v>
          </cell>
          <cell r="S473">
            <v>0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  <cell r="Y473" t="e">
            <v>#N/A</v>
          </cell>
          <cell r="Z473" t="e">
            <v>#N/A</v>
          </cell>
          <cell r="AA473" t="e">
            <v>#N/A</v>
          </cell>
          <cell r="AB473" t="e">
            <v>#N/A</v>
          </cell>
          <cell r="AC473" t="e">
            <v>#N/A</v>
          </cell>
          <cell r="AD473" t="e">
            <v>#N/A</v>
          </cell>
          <cell r="AE473" t="e">
            <v>#N/A</v>
          </cell>
          <cell r="AF473" t="e">
            <v>#N/A</v>
          </cell>
          <cell r="AG473" t="e">
            <v>#N/A</v>
          </cell>
        </row>
        <row r="474">
          <cell r="R474">
            <v>0</v>
          </cell>
          <cell r="S474">
            <v>0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  <cell r="Y474" t="e">
            <v>#N/A</v>
          </cell>
          <cell r="Z474" t="e">
            <v>#N/A</v>
          </cell>
          <cell r="AA474" t="e">
            <v>#N/A</v>
          </cell>
          <cell r="AB474" t="e">
            <v>#N/A</v>
          </cell>
          <cell r="AC474" t="e">
            <v>#N/A</v>
          </cell>
          <cell r="AD474" t="e">
            <v>#N/A</v>
          </cell>
          <cell r="AE474" t="e">
            <v>#N/A</v>
          </cell>
          <cell r="AF474" t="e">
            <v>#N/A</v>
          </cell>
          <cell r="AG474" t="e">
            <v>#N/A</v>
          </cell>
        </row>
        <row r="475">
          <cell r="R475">
            <v>0</v>
          </cell>
          <cell r="S475">
            <v>0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  <cell r="Y475" t="e">
            <v>#N/A</v>
          </cell>
          <cell r="Z475" t="e">
            <v>#N/A</v>
          </cell>
          <cell r="AA475" t="e">
            <v>#N/A</v>
          </cell>
          <cell r="AB475" t="e">
            <v>#N/A</v>
          </cell>
          <cell r="AC475" t="e">
            <v>#N/A</v>
          </cell>
          <cell r="AD475" t="e">
            <v>#N/A</v>
          </cell>
          <cell r="AE475" t="e">
            <v>#N/A</v>
          </cell>
          <cell r="AF475" t="e">
            <v>#N/A</v>
          </cell>
          <cell r="AG475" t="e">
            <v>#N/A</v>
          </cell>
        </row>
        <row r="476">
          <cell r="R476">
            <v>0</v>
          </cell>
          <cell r="S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  <cell r="Y476" t="e">
            <v>#N/A</v>
          </cell>
          <cell r="Z476" t="e">
            <v>#N/A</v>
          </cell>
          <cell r="AA476" t="e">
            <v>#N/A</v>
          </cell>
          <cell r="AB476" t="e">
            <v>#N/A</v>
          </cell>
          <cell r="AC476" t="e">
            <v>#N/A</v>
          </cell>
          <cell r="AD476" t="e">
            <v>#N/A</v>
          </cell>
          <cell r="AE476" t="e">
            <v>#N/A</v>
          </cell>
          <cell r="AF476" t="e">
            <v>#N/A</v>
          </cell>
          <cell r="AG476" t="e">
            <v>#N/A</v>
          </cell>
        </row>
        <row r="477">
          <cell r="R477">
            <v>0</v>
          </cell>
          <cell r="S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  <cell r="Y477" t="e">
            <v>#N/A</v>
          </cell>
          <cell r="Z477" t="e">
            <v>#N/A</v>
          </cell>
          <cell r="AA477" t="e">
            <v>#N/A</v>
          </cell>
          <cell r="AB477" t="e">
            <v>#N/A</v>
          </cell>
          <cell r="AC477" t="e">
            <v>#N/A</v>
          </cell>
          <cell r="AD477" t="e">
            <v>#N/A</v>
          </cell>
          <cell r="AE477" t="e">
            <v>#N/A</v>
          </cell>
          <cell r="AF477" t="e">
            <v>#N/A</v>
          </cell>
          <cell r="AG477" t="e">
            <v>#N/A</v>
          </cell>
        </row>
        <row r="478">
          <cell r="R478">
            <v>0</v>
          </cell>
          <cell r="S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  <cell r="Y478" t="e">
            <v>#N/A</v>
          </cell>
          <cell r="Z478" t="e">
            <v>#N/A</v>
          </cell>
          <cell r="AA478" t="e">
            <v>#N/A</v>
          </cell>
          <cell r="AB478" t="e">
            <v>#N/A</v>
          </cell>
          <cell r="AC478" t="e">
            <v>#N/A</v>
          </cell>
          <cell r="AD478" t="e">
            <v>#N/A</v>
          </cell>
          <cell r="AE478" t="e">
            <v>#N/A</v>
          </cell>
          <cell r="AF478" t="e">
            <v>#N/A</v>
          </cell>
          <cell r="AG478" t="e">
            <v>#N/A</v>
          </cell>
        </row>
        <row r="479">
          <cell r="R479">
            <v>0</v>
          </cell>
          <cell r="S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  <cell r="Y479" t="e">
            <v>#N/A</v>
          </cell>
          <cell r="Z479" t="e">
            <v>#N/A</v>
          </cell>
          <cell r="AA479" t="e">
            <v>#N/A</v>
          </cell>
          <cell r="AB479" t="e">
            <v>#N/A</v>
          </cell>
          <cell r="AC479" t="e">
            <v>#N/A</v>
          </cell>
          <cell r="AD479" t="e">
            <v>#N/A</v>
          </cell>
          <cell r="AE479" t="e">
            <v>#N/A</v>
          </cell>
          <cell r="AF479" t="e">
            <v>#N/A</v>
          </cell>
          <cell r="AG479" t="e">
            <v>#N/A</v>
          </cell>
        </row>
        <row r="480">
          <cell r="R480">
            <v>0</v>
          </cell>
          <cell r="S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  <cell r="Y480" t="e">
            <v>#N/A</v>
          </cell>
          <cell r="Z480" t="e">
            <v>#N/A</v>
          </cell>
          <cell r="AA480" t="e">
            <v>#N/A</v>
          </cell>
          <cell r="AB480" t="e">
            <v>#N/A</v>
          </cell>
          <cell r="AC480" t="e">
            <v>#N/A</v>
          </cell>
          <cell r="AD480" t="e">
            <v>#N/A</v>
          </cell>
          <cell r="AE480" t="e">
            <v>#N/A</v>
          </cell>
          <cell r="AF480" t="e">
            <v>#N/A</v>
          </cell>
          <cell r="AG480" t="e">
            <v>#N/A</v>
          </cell>
        </row>
        <row r="481">
          <cell r="R481">
            <v>0</v>
          </cell>
          <cell r="S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  <cell r="Y481" t="e">
            <v>#N/A</v>
          </cell>
          <cell r="Z481" t="e">
            <v>#N/A</v>
          </cell>
          <cell r="AA481" t="e">
            <v>#N/A</v>
          </cell>
          <cell r="AB481" t="e">
            <v>#N/A</v>
          </cell>
          <cell r="AC481" t="e">
            <v>#N/A</v>
          </cell>
          <cell r="AD481" t="e">
            <v>#N/A</v>
          </cell>
          <cell r="AE481" t="e">
            <v>#N/A</v>
          </cell>
          <cell r="AF481" t="e">
            <v>#N/A</v>
          </cell>
          <cell r="AG481" t="e">
            <v>#N/A</v>
          </cell>
        </row>
        <row r="482">
          <cell r="R482">
            <v>0</v>
          </cell>
          <cell r="S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  <cell r="Y482" t="e">
            <v>#N/A</v>
          </cell>
          <cell r="Z482" t="e">
            <v>#N/A</v>
          </cell>
          <cell r="AA482" t="e">
            <v>#N/A</v>
          </cell>
          <cell r="AB482" t="e">
            <v>#N/A</v>
          </cell>
          <cell r="AC482" t="e">
            <v>#N/A</v>
          </cell>
          <cell r="AD482" t="e">
            <v>#N/A</v>
          </cell>
          <cell r="AE482" t="e">
            <v>#N/A</v>
          </cell>
          <cell r="AF482" t="e">
            <v>#N/A</v>
          </cell>
          <cell r="AG482" t="e">
            <v>#N/A</v>
          </cell>
        </row>
        <row r="483">
          <cell r="R483">
            <v>0</v>
          </cell>
          <cell r="S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  <cell r="Y483" t="e">
            <v>#N/A</v>
          </cell>
          <cell r="Z483" t="e">
            <v>#N/A</v>
          </cell>
          <cell r="AA483" t="e">
            <v>#N/A</v>
          </cell>
          <cell r="AB483" t="e">
            <v>#N/A</v>
          </cell>
          <cell r="AC483" t="e">
            <v>#N/A</v>
          </cell>
          <cell r="AD483" t="e">
            <v>#N/A</v>
          </cell>
          <cell r="AE483" t="e">
            <v>#N/A</v>
          </cell>
          <cell r="AF483" t="e">
            <v>#N/A</v>
          </cell>
          <cell r="AG483" t="e">
            <v>#N/A</v>
          </cell>
        </row>
        <row r="484">
          <cell r="R484">
            <v>0</v>
          </cell>
          <cell r="S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  <cell r="Y484" t="e">
            <v>#N/A</v>
          </cell>
          <cell r="Z484" t="e">
            <v>#N/A</v>
          </cell>
          <cell r="AA484" t="e">
            <v>#N/A</v>
          </cell>
          <cell r="AB484" t="e">
            <v>#N/A</v>
          </cell>
          <cell r="AC484" t="e">
            <v>#N/A</v>
          </cell>
          <cell r="AD484" t="e">
            <v>#N/A</v>
          </cell>
          <cell r="AE484" t="e">
            <v>#N/A</v>
          </cell>
          <cell r="AF484" t="e">
            <v>#N/A</v>
          </cell>
          <cell r="AG484" t="e">
            <v>#N/A</v>
          </cell>
        </row>
        <row r="485">
          <cell r="R485">
            <v>0</v>
          </cell>
          <cell r="S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  <cell r="Y485" t="e">
            <v>#N/A</v>
          </cell>
          <cell r="Z485" t="e">
            <v>#N/A</v>
          </cell>
          <cell r="AA485" t="e">
            <v>#N/A</v>
          </cell>
          <cell r="AB485" t="e">
            <v>#N/A</v>
          </cell>
          <cell r="AC485" t="e">
            <v>#N/A</v>
          </cell>
          <cell r="AD485" t="e">
            <v>#N/A</v>
          </cell>
          <cell r="AE485" t="e">
            <v>#N/A</v>
          </cell>
          <cell r="AF485" t="e">
            <v>#N/A</v>
          </cell>
          <cell r="AG485" t="e">
            <v>#N/A</v>
          </cell>
        </row>
        <row r="486">
          <cell r="R486">
            <v>0</v>
          </cell>
          <cell r="S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  <cell r="Y486" t="e">
            <v>#N/A</v>
          </cell>
          <cell r="Z486" t="e">
            <v>#N/A</v>
          </cell>
          <cell r="AA486" t="e">
            <v>#N/A</v>
          </cell>
          <cell r="AB486" t="e">
            <v>#N/A</v>
          </cell>
          <cell r="AC486" t="e">
            <v>#N/A</v>
          </cell>
          <cell r="AD486" t="e">
            <v>#N/A</v>
          </cell>
          <cell r="AE486" t="e">
            <v>#N/A</v>
          </cell>
          <cell r="AF486" t="e">
            <v>#N/A</v>
          </cell>
          <cell r="AG486" t="e">
            <v>#N/A</v>
          </cell>
        </row>
        <row r="487">
          <cell r="R487">
            <v>0</v>
          </cell>
          <cell r="S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  <cell r="Y487" t="e">
            <v>#N/A</v>
          </cell>
          <cell r="Z487" t="e">
            <v>#N/A</v>
          </cell>
          <cell r="AA487" t="e">
            <v>#N/A</v>
          </cell>
          <cell r="AB487" t="e">
            <v>#N/A</v>
          </cell>
          <cell r="AC487" t="e">
            <v>#N/A</v>
          </cell>
          <cell r="AD487" t="e">
            <v>#N/A</v>
          </cell>
          <cell r="AE487" t="e">
            <v>#N/A</v>
          </cell>
          <cell r="AF487" t="e">
            <v>#N/A</v>
          </cell>
          <cell r="AG487" t="e">
            <v>#N/A</v>
          </cell>
        </row>
        <row r="488">
          <cell r="R488">
            <v>0</v>
          </cell>
          <cell r="S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  <cell r="Y488" t="e">
            <v>#N/A</v>
          </cell>
          <cell r="Z488" t="e">
            <v>#N/A</v>
          </cell>
          <cell r="AA488" t="e">
            <v>#N/A</v>
          </cell>
          <cell r="AB488" t="e">
            <v>#N/A</v>
          </cell>
          <cell r="AC488" t="e">
            <v>#N/A</v>
          </cell>
          <cell r="AD488" t="e">
            <v>#N/A</v>
          </cell>
          <cell r="AE488" t="e">
            <v>#N/A</v>
          </cell>
          <cell r="AF488" t="e">
            <v>#N/A</v>
          </cell>
          <cell r="AG488" t="e">
            <v>#N/A</v>
          </cell>
        </row>
        <row r="489">
          <cell r="R489">
            <v>0</v>
          </cell>
          <cell r="S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  <cell r="Y489" t="e">
            <v>#N/A</v>
          </cell>
          <cell r="Z489" t="e">
            <v>#N/A</v>
          </cell>
          <cell r="AA489" t="e">
            <v>#N/A</v>
          </cell>
          <cell r="AB489" t="e">
            <v>#N/A</v>
          </cell>
          <cell r="AC489" t="e">
            <v>#N/A</v>
          </cell>
          <cell r="AD489" t="e">
            <v>#N/A</v>
          </cell>
          <cell r="AE489" t="e">
            <v>#N/A</v>
          </cell>
          <cell r="AF489" t="e">
            <v>#N/A</v>
          </cell>
          <cell r="AG489" t="e">
            <v>#N/A</v>
          </cell>
        </row>
        <row r="490">
          <cell r="R490">
            <v>0</v>
          </cell>
          <cell r="S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  <cell r="Y490" t="e">
            <v>#N/A</v>
          </cell>
          <cell r="Z490" t="e">
            <v>#N/A</v>
          </cell>
          <cell r="AA490" t="e">
            <v>#N/A</v>
          </cell>
          <cell r="AB490" t="e">
            <v>#N/A</v>
          </cell>
          <cell r="AC490" t="e">
            <v>#N/A</v>
          </cell>
          <cell r="AD490" t="e">
            <v>#N/A</v>
          </cell>
          <cell r="AE490" t="e">
            <v>#N/A</v>
          </cell>
          <cell r="AF490" t="e">
            <v>#N/A</v>
          </cell>
          <cell r="AG490" t="e">
            <v>#N/A</v>
          </cell>
        </row>
        <row r="491">
          <cell r="R491">
            <v>0</v>
          </cell>
          <cell r="S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  <cell r="Y491" t="e">
            <v>#N/A</v>
          </cell>
          <cell r="Z491" t="e">
            <v>#N/A</v>
          </cell>
          <cell r="AA491" t="e">
            <v>#N/A</v>
          </cell>
          <cell r="AB491" t="e">
            <v>#N/A</v>
          </cell>
          <cell r="AC491" t="e">
            <v>#N/A</v>
          </cell>
          <cell r="AD491" t="e">
            <v>#N/A</v>
          </cell>
          <cell r="AE491" t="e">
            <v>#N/A</v>
          </cell>
          <cell r="AF491" t="e">
            <v>#N/A</v>
          </cell>
          <cell r="AG491" t="e">
            <v>#N/A</v>
          </cell>
        </row>
        <row r="492">
          <cell r="R492">
            <v>0</v>
          </cell>
          <cell r="S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  <cell r="Y492" t="e">
            <v>#N/A</v>
          </cell>
          <cell r="Z492" t="e">
            <v>#N/A</v>
          </cell>
          <cell r="AA492" t="e">
            <v>#N/A</v>
          </cell>
          <cell r="AB492" t="e">
            <v>#N/A</v>
          </cell>
          <cell r="AC492" t="e">
            <v>#N/A</v>
          </cell>
          <cell r="AD492" t="e">
            <v>#N/A</v>
          </cell>
          <cell r="AE492" t="e">
            <v>#N/A</v>
          </cell>
          <cell r="AF492" t="e">
            <v>#N/A</v>
          </cell>
          <cell r="AG492" t="e">
            <v>#N/A</v>
          </cell>
        </row>
        <row r="493">
          <cell r="R493">
            <v>0</v>
          </cell>
          <cell r="S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  <cell r="Y493" t="e">
            <v>#N/A</v>
          </cell>
          <cell r="Z493" t="e">
            <v>#N/A</v>
          </cell>
          <cell r="AA493" t="e">
            <v>#N/A</v>
          </cell>
          <cell r="AB493" t="e">
            <v>#N/A</v>
          </cell>
          <cell r="AC493" t="e">
            <v>#N/A</v>
          </cell>
          <cell r="AD493" t="e">
            <v>#N/A</v>
          </cell>
          <cell r="AE493" t="e">
            <v>#N/A</v>
          </cell>
          <cell r="AF493" t="e">
            <v>#N/A</v>
          </cell>
          <cell r="AG493" t="e">
            <v>#N/A</v>
          </cell>
        </row>
        <row r="494">
          <cell r="R494">
            <v>0</v>
          </cell>
          <cell r="S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  <cell r="Y494" t="e">
            <v>#N/A</v>
          </cell>
          <cell r="Z494" t="e">
            <v>#N/A</v>
          </cell>
          <cell r="AA494" t="e">
            <v>#N/A</v>
          </cell>
          <cell r="AB494" t="e">
            <v>#N/A</v>
          </cell>
          <cell r="AC494" t="e">
            <v>#N/A</v>
          </cell>
          <cell r="AD494" t="e">
            <v>#N/A</v>
          </cell>
          <cell r="AE494" t="e">
            <v>#N/A</v>
          </cell>
          <cell r="AF494" t="e">
            <v>#N/A</v>
          </cell>
          <cell r="AG494" t="e">
            <v>#N/A</v>
          </cell>
        </row>
        <row r="495">
          <cell r="R495">
            <v>0</v>
          </cell>
          <cell r="S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  <cell r="Y495" t="e">
            <v>#N/A</v>
          </cell>
          <cell r="Z495" t="e">
            <v>#N/A</v>
          </cell>
          <cell r="AA495" t="e">
            <v>#N/A</v>
          </cell>
          <cell r="AB495" t="e">
            <v>#N/A</v>
          </cell>
          <cell r="AC495" t="e">
            <v>#N/A</v>
          </cell>
          <cell r="AD495" t="e">
            <v>#N/A</v>
          </cell>
          <cell r="AE495" t="e">
            <v>#N/A</v>
          </cell>
          <cell r="AF495" t="e">
            <v>#N/A</v>
          </cell>
          <cell r="AG495" t="e">
            <v>#N/A</v>
          </cell>
        </row>
        <row r="496">
          <cell r="R496">
            <v>0</v>
          </cell>
          <cell r="S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  <cell r="Y496" t="e">
            <v>#N/A</v>
          </cell>
          <cell r="Z496" t="e">
            <v>#N/A</v>
          </cell>
          <cell r="AA496" t="e">
            <v>#N/A</v>
          </cell>
          <cell r="AB496" t="e">
            <v>#N/A</v>
          </cell>
          <cell r="AC496" t="e">
            <v>#N/A</v>
          </cell>
          <cell r="AD496" t="e">
            <v>#N/A</v>
          </cell>
          <cell r="AE496" t="e">
            <v>#N/A</v>
          </cell>
          <cell r="AF496" t="e">
            <v>#N/A</v>
          </cell>
          <cell r="AG496" t="e">
            <v>#N/A</v>
          </cell>
        </row>
        <row r="497">
          <cell r="R497">
            <v>0</v>
          </cell>
          <cell r="S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  <cell r="Y497" t="e">
            <v>#N/A</v>
          </cell>
          <cell r="Z497" t="e">
            <v>#N/A</v>
          </cell>
          <cell r="AA497" t="e">
            <v>#N/A</v>
          </cell>
          <cell r="AB497" t="e">
            <v>#N/A</v>
          </cell>
          <cell r="AC497" t="e">
            <v>#N/A</v>
          </cell>
          <cell r="AD497" t="e">
            <v>#N/A</v>
          </cell>
          <cell r="AE497" t="e">
            <v>#N/A</v>
          </cell>
          <cell r="AF497" t="e">
            <v>#N/A</v>
          </cell>
          <cell r="AG497" t="e">
            <v>#N/A</v>
          </cell>
        </row>
        <row r="498">
          <cell r="R498">
            <v>0</v>
          </cell>
          <cell r="S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  <cell r="Y498" t="e">
            <v>#N/A</v>
          </cell>
          <cell r="Z498" t="e">
            <v>#N/A</v>
          </cell>
          <cell r="AA498" t="e">
            <v>#N/A</v>
          </cell>
          <cell r="AB498" t="e">
            <v>#N/A</v>
          </cell>
          <cell r="AC498" t="e">
            <v>#N/A</v>
          </cell>
          <cell r="AD498" t="e">
            <v>#N/A</v>
          </cell>
          <cell r="AE498" t="e">
            <v>#N/A</v>
          </cell>
          <cell r="AF498" t="e">
            <v>#N/A</v>
          </cell>
          <cell r="AG498" t="e">
            <v>#N/A</v>
          </cell>
        </row>
        <row r="499">
          <cell r="R499">
            <v>0</v>
          </cell>
          <cell r="S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  <cell r="Y499" t="e">
            <v>#N/A</v>
          </cell>
          <cell r="Z499" t="e">
            <v>#N/A</v>
          </cell>
          <cell r="AA499" t="e">
            <v>#N/A</v>
          </cell>
          <cell r="AB499" t="e">
            <v>#N/A</v>
          </cell>
          <cell r="AC499" t="e">
            <v>#N/A</v>
          </cell>
          <cell r="AD499" t="e">
            <v>#N/A</v>
          </cell>
          <cell r="AE499" t="e">
            <v>#N/A</v>
          </cell>
          <cell r="AF499" t="e">
            <v>#N/A</v>
          </cell>
          <cell r="AG499" t="e">
            <v>#N/A</v>
          </cell>
        </row>
        <row r="500">
          <cell r="R500">
            <v>0</v>
          </cell>
          <cell r="S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  <cell r="Y500" t="e">
            <v>#N/A</v>
          </cell>
          <cell r="Z500" t="e">
            <v>#N/A</v>
          </cell>
          <cell r="AA500" t="e">
            <v>#N/A</v>
          </cell>
          <cell r="AB500" t="e">
            <v>#N/A</v>
          </cell>
          <cell r="AC500" t="e">
            <v>#N/A</v>
          </cell>
          <cell r="AD500" t="e">
            <v>#N/A</v>
          </cell>
          <cell r="AE500" t="e">
            <v>#N/A</v>
          </cell>
          <cell r="AF500" t="e">
            <v>#N/A</v>
          </cell>
          <cell r="AG500" t="e">
            <v>#N/A</v>
          </cell>
        </row>
        <row r="501">
          <cell r="R501">
            <v>0</v>
          </cell>
          <cell r="S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  <cell r="Y501" t="e">
            <v>#N/A</v>
          </cell>
          <cell r="Z501" t="e">
            <v>#N/A</v>
          </cell>
          <cell r="AA501" t="e">
            <v>#N/A</v>
          </cell>
          <cell r="AB501" t="e">
            <v>#N/A</v>
          </cell>
          <cell r="AC501" t="e">
            <v>#N/A</v>
          </cell>
          <cell r="AD501" t="e">
            <v>#N/A</v>
          </cell>
          <cell r="AE501" t="e">
            <v>#N/A</v>
          </cell>
          <cell r="AF501" t="e">
            <v>#N/A</v>
          </cell>
          <cell r="AG501" t="e">
            <v>#N/A</v>
          </cell>
        </row>
        <row r="502">
          <cell r="R502">
            <v>0</v>
          </cell>
          <cell r="S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  <cell r="Y502" t="e">
            <v>#N/A</v>
          </cell>
          <cell r="Z502" t="e">
            <v>#N/A</v>
          </cell>
          <cell r="AA502" t="e">
            <v>#N/A</v>
          </cell>
          <cell r="AB502" t="e">
            <v>#N/A</v>
          </cell>
          <cell r="AC502" t="e">
            <v>#N/A</v>
          </cell>
          <cell r="AD502" t="e">
            <v>#N/A</v>
          </cell>
          <cell r="AE502" t="e">
            <v>#N/A</v>
          </cell>
          <cell r="AF502" t="e">
            <v>#N/A</v>
          </cell>
          <cell r="AG502" t="e">
            <v>#N/A</v>
          </cell>
        </row>
        <row r="503">
          <cell r="R503">
            <v>0</v>
          </cell>
          <cell r="S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  <cell r="Y503" t="e">
            <v>#N/A</v>
          </cell>
          <cell r="Z503" t="e">
            <v>#N/A</v>
          </cell>
          <cell r="AA503" t="e">
            <v>#N/A</v>
          </cell>
          <cell r="AB503" t="e">
            <v>#N/A</v>
          </cell>
          <cell r="AC503" t="e">
            <v>#N/A</v>
          </cell>
          <cell r="AD503" t="e">
            <v>#N/A</v>
          </cell>
          <cell r="AE503" t="e">
            <v>#N/A</v>
          </cell>
          <cell r="AF503" t="e">
            <v>#N/A</v>
          </cell>
          <cell r="AG503" t="e">
            <v>#N/A</v>
          </cell>
        </row>
        <row r="504">
          <cell r="R504">
            <v>0</v>
          </cell>
          <cell r="S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  <cell r="Y504" t="e">
            <v>#N/A</v>
          </cell>
          <cell r="Z504" t="e">
            <v>#N/A</v>
          </cell>
          <cell r="AA504" t="e">
            <v>#N/A</v>
          </cell>
          <cell r="AB504" t="e">
            <v>#N/A</v>
          </cell>
          <cell r="AC504" t="e">
            <v>#N/A</v>
          </cell>
          <cell r="AD504" t="e">
            <v>#N/A</v>
          </cell>
          <cell r="AE504" t="e">
            <v>#N/A</v>
          </cell>
          <cell r="AF504" t="e">
            <v>#N/A</v>
          </cell>
          <cell r="AG504" t="e">
            <v>#N/A</v>
          </cell>
        </row>
        <row r="505">
          <cell r="R505">
            <v>0</v>
          </cell>
          <cell r="S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  <cell r="Y505" t="e">
            <v>#N/A</v>
          </cell>
          <cell r="Z505" t="e">
            <v>#N/A</v>
          </cell>
          <cell r="AA505" t="e">
            <v>#N/A</v>
          </cell>
          <cell r="AB505" t="e">
            <v>#N/A</v>
          </cell>
          <cell r="AC505" t="e">
            <v>#N/A</v>
          </cell>
          <cell r="AD505" t="e">
            <v>#N/A</v>
          </cell>
          <cell r="AE505" t="e">
            <v>#N/A</v>
          </cell>
          <cell r="AF505" t="e">
            <v>#N/A</v>
          </cell>
          <cell r="AG505" t="e">
            <v>#N/A</v>
          </cell>
        </row>
        <row r="506">
          <cell r="R506">
            <v>0</v>
          </cell>
          <cell r="S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  <cell r="Y506" t="e">
            <v>#N/A</v>
          </cell>
          <cell r="Z506" t="e">
            <v>#N/A</v>
          </cell>
          <cell r="AA506" t="e">
            <v>#N/A</v>
          </cell>
          <cell r="AB506" t="e">
            <v>#N/A</v>
          </cell>
          <cell r="AC506" t="e">
            <v>#N/A</v>
          </cell>
          <cell r="AD506" t="e">
            <v>#N/A</v>
          </cell>
          <cell r="AE506" t="e">
            <v>#N/A</v>
          </cell>
          <cell r="AF506" t="e">
            <v>#N/A</v>
          </cell>
          <cell r="AG506" t="e">
            <v>#N/A</v>
          </cell>
        </row>
        <row r="507">
          <cell r="R507">
            <v>0</v>
          </cell>
          <cell r="S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  <cell r="Y507" t="e">
            <v>#N/A</v>
          </cell>
          <cell r="Z507" t="e">
            <v>#N/A</v>
          </cell>
          <cell r="AA507" t="e">
            <v>#N/A</v>
          </cell>
          <cell r="AB507" t="e">
            <v>#N/A</v>
          </cell>
          <cell r="AC507" t="e">
            <v>#N/A</v>
          </cell>
          <cell r="AD507" t="e">
            <v>#N/A</v>
          </cell>
          <cell r="AE507" t="e">
            <v>#N/A</v>
          </cell>
          <cell r="AF507" t="e">
            <v>#N/A</v>
          </cell>
          <cell r="AG507" t="e">
            <v>#N/A</v>
          </cell>
        </row>
        <row r="508">
          <cell r="R508">
            <v>0</v>
          </cell>
          <cell r="S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  <cell r="Y508" t="e">
            <v>#N/A</v>
          </cell>
          <cell r="Z508" t="e">
            <v>#N/A</v>
          </cell>
          <cell r="AA508" t="e">
            <v>#N/A</v>
          </cell>
          <cell r="AB508" t="e">
            <v>#N/A</v>
          </cell>
          <cell r="AC508" t="e">
            <v>#N/A</v>
          </cell>
          <cell r="AD508" t="e">
            <v>#N/A</v>
          </cell>
          <cell r="AE508" t="e">
            <v>#N/A</v>
          </cell>
          <cell r="AF508" t="e">
            <v>#N/A</v>
          </cell>
          <cell r="AG508" t="e">
            <v>#N/A</v>
          </cell>
        </row>
        <row r="509">
          <cell r="R509">
            <v>0</v>
          </cell>
          <cell r="S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  <cell r="Y509" t="e">
            <v>#N/A</v>
          </cell>
          <cell r="Z509" t="e">
            <v>#N/A</v>
          </cell>
          <cell r="AA509" t="e">
            <v>#N/A</v>
          </cell>
          <cell r="AB509" t="e">
            <v>#N/A</v>
          </cell>
          <cell r="AC509" t="e">
            <v>#N/A</v>
          </cell>
          <cell r="AD509" t="e">
            <v>#N/A</v>
          </cell>
          <cell r="AE509" t="e">
            <v>#N/A</v>
          </cell>
          <cell r="AF509" t="e">
            <v>#N/A</v>
          </cell>
          <cell r="AG509" t="e">
            <v>#N/A</v>
          </cell>
        </row>
        <row r="510">
          <cell r="R510">
            <v>0</v>
          </cell>
          <cell r="S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  <cell r="Y510" t="e">
            <v>#N/A</v>
          </cell>
          <cell r="Z510" t="e">
            <v>#N/A</v>
          </cell>
          <cell r="AA510" t="e">
            <v>#N/A</v>
          </cell>
          <cell r="AB510" t="e">
            <v>#N/A</v>
          </cell>
          <cell r="AC510" t="e">
            <v>#N/A</v>
          </cell>
          <cell r="AD510" t="e">
            <v>#N/A</v>
          </cell>
          <cell r="AE510" t="e">
            <v>#N/A</v>
          </cell>
          <cell r="AF510" t="e">
            <v>#N/A</v>
          </cell>
          <cell r="AG510" t="e">
            <v>#N/A</v>
          </cell>
        </row>
        <row r="511">
          <cell r="R511">
            <v>0</v>
          </cell>
          <cell r="S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  <cell r="Y511" t="e">
            <v>#N/A</v>
          </cell>
          <cell r="Z511" t="e">
            <v>#N/A</v>
          </cell>
          <cell r="AA511" t="e">
            <v>#N/A</v>
          </cell>
          <cell r="AB511" t="e">
            <v>#N/A</v>
          </cell>
          <cell r="AC511" t="e">
            <v>#N/A</v>
          </cell>
          <cell r="AD511" t="e">
            <v>#N/A</v>
          </cell>
          <cell r="AE511" t="e">
            <v>#N/A</v>
          </cell>
          <cell r="AF511" t="e">
            <v>#N/A</v>
          </cell>
          <cell r="AG511" t="e">
            <v>#N/A</v>
          </cell>
        </row>
        <row r="512">
          <cell r="R512">
            <v>0</v>
          </cell>
          <cell r="S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  <cell r="Y512" t="e">
            <v>#N/A</v>
          </cell>
          <cell r="Z512" t="e">
            <v>#N/A</v>
          </cell>
          <cell r="AA512" t="e">
            <v>#N/A</v>
          </cell>
          <cell r="AB512" t="e">
            <v>#N/A</v>
          </cell>
          <cell r="AC512" t="e">
            <v>#N/A</v>
          </cell>
          <cell r="AD512" t="e">
            <v>#N/A</v>
          </cell>
          <cell r="AE512" t="e">
            <v>#N/A</v>
          </cell>
          <cell r="AF512" t="e">
            <v>#N/A</v>
          </cell>
          <cell r="AG512" t="e">
            <v>#N/A</v>
          </cell>
        </row>
        <row r="513">
          <cell r="R513">
            <v>0</v>
          </cell>
          <cell r="S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  <cell r="Y513" t="e">
            <v>#N/A</v>
          </cell>
          <cell r="Z513" t="e">
            <v>#N/A</v>
          </cell>
          <cell r="AA513" t="e">
            <v>#N/A</v>
          </cell>
          <cell r="AB513" t="e">
            <v>#N/A</v>
          </cell>
          <cell r="AC513" t="e">
            <v>#N/A</v>
          </cell>
          <cell r="AD513" t="e">
            <v>#N/A</v>
          </cell>
          <cell r="AE513" t="e">
            <v>#N/A</v>
          </cell>
          <cell r="AF513" t="e">
            <v>#N/A</v>
          </cell>
          <cell r="AG513" t="e">
            <v>#N/A</v>
          </cell>
        </row>
        <row r="514">
          <cell r="R514">
            <v>0</v>
          </cell>
          <cell r="S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  <cell r="Y514" t="e">
            <v>#N/A</v>
          </cell>
          <cell r="Z514" t="e">
            <v>#N/A</v>
          </cell>
          <cell r="AA514" t="e">
            <v>#N/A</v>
          </cell>
          <cell r="AB514" t="e">
            <v>#N/A</v>
          </cell>
          <cell r="AC514" t="e">
            <v>#N/A</v>
          </cell>
          <cell r="AD514" t="e">
            <v>#N/A</v>
          </cell>
          <cell r="AE514" t="e">
            <v>#N/A</v>
          </cell>
          <cell r="AF514" t="e">
            <v>#N/A</v>
          </cell>
          <cell r="AG514" t="e">
            <v>#N/A</v>
          </cell>
        </row>
        <row r="515">
          <cell r="R515">
            <v>0</v>
          </cell>
          <cell r="S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  <cell r="Y515" t="e">
            <v>#N/A</v>
          </cell>
          <cell r="Z515" t="e">
            <v>#N/A</v>
          </cell>
          <cell r="AA515" t="e">
            <v>#N/A</v>
          </cell>
          <cell r="AB515" t="e">
            <v>#N/A</v>
          </cell>
          <cell r="AC515" t="e">
            <v>#N/A</v>
          </cell>
          <cell r="AD515" t="e">
            <v>#N/A</v>
          </cell>
          <cell r="AE515" t="e">
            <v>#N/A</v>
          </cell>
          <cell r="AF515" t="e">
            <v>#N/A</v>
          </cell>
          <cell r="AG515" t="e">
            <v>#N/A</v>
          </cell>
        </row>
        <row r="516">
          <cell r="R516">
            <v>0</v>
          </cell>
          <cell r="S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  <cell r="Y516" t="e">
            <v>#N/A</v>
          </cell>
          <cell r="Z516" t="e">
            <v>#N/A</v>
          </cell>
          <cell r="AA516" t="e">
            <v>#N/A</v>
          </cell>
          <cell r="AB516" t="e">
            <v>#N/A</v>
          </cell>
          <cell r="AC516" t="e">
            <v>#N/A</v>
          </cell>
          <cell r="AD516" t="e">
            <v>#N/A</v>
          </cell>
          <cell r="AE516" t="e">
            <v>#N/A</v>
          </cell>
          <cell r="AF516" t="e">
            <v>#N/A</v>
          </cell>
          <cell r="AG516" t="e">
            <v>#N/A</v>
          </cell>
        </row>
        <row r="517">
          <cell r="R517">
            <v>0</v>
          </cell>
          <cell r="S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  <cell r="Y517" t="e">
            <v>#N/A</v>
          </cell>
          <cell r="Z517" t="e">
            <v>#N/A</v>
          </cell>
          <cell r="AA517" t="e">
            <v>#N/A</v>
          </cell>
          <cell r="AB517" t="e">
            <v>#N/A</v>
          </cell>
          <cell r="AC517" t="e">
            <v>#N/A</v>
          </cell>
          <cell r="AD517" t="e">
            <v>#N/A</v>
          </cell>
          <cell r="AE517" t="e">
            <v>#N/A</v>
          </cell>
          <cell r="AF517" t="e">
            <v>#N/A</v>
          </cell>
          <cell r="AG517" t="e">
            <v>#N/A</v>
          </cell>
        </row>
        <row r="518">
          <cell r="R518">
            <v>0</v>
          </cell>
          <cell r="S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  <cell r="Y518" t="e">
            <v>#N/A</v>
          </cell>
          <cell r="Z518" t="e">
            <v>#N/A</v>
          </cell>
          <cell r="AA518" t="e">
            <v>#N/A</v>
          </cell>
          <cell r="AB518" t="e">
            <v>#N/A</v>
          </cell>
          <cell r="AC518" t="e">
            <v>#N/A</v>
          </cell>
          <cell r="AD518" t="e">
            <v>#N/A</v>
          </cell>
          <cell r="AE518" t="e">
            <v>#N/A</v>
          </cell>
          <cell r="AF518" t="e">
            <v>#N/A</v>
          </cell>
          <cell r="AG518" t="e">
            <v>#N/A</v>
          </cell>
        </row>
        <row r="519">
          <cell r="R519">
            <v>0</v>
          </cell>
          <cell r="S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  <cell r="Y519" t="e">
            <v>#N/A</v>
          </cell>
          <cell r="Z519" t="e">
            <v>#N/A</v>
          </cell>
          <cell r="AA519" t="e">
            <v>#N/A</v>
          </cell>
          <cell r="AB519" t="e">
            <v>#N/A</v>
          </cell>
          <cell r="AC519" t="e">
            <v>#N/A</v>
          </cell>
          <cell r="AD519" t="e">
            <v>#N/A</v>
          </cell>
          <cell r="AE519" t="e">
            <v>#N/A</v>
          </cell>
          <cell r="AF519" t="e">
            <v>#N/A</v>
          </cell>
          <cell r="AG519" t="e">
            <v>#N/A</v>
          </cell>
        </row>
        <row r="520">
          <cell r="R520">
            <v>0</v>
          </cell>
          <cell r="S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  <cell r="Y520" t="e">
            <v>#N/A</v>
          </cell>
          <cell r="Z520" t="e">
            <v>#N/A</v>
          </cell>
          <cell r="AA520" t="e">
            <v>#N/A</v>
          </cell>
          <cell r="AB520" t="e">
            <v>#N/A</v>
          </cell>
          <cell r="AC520" t="e">
            <v>#N/A</v>
          </cell>
          <cell r="AD520" t="e">
            <v>#N/A</v>
          </cell>
          <cell r="AE520" t="e">
            <v>#N/A</v>
          </cell>
          <cell r="AF520" t="e">
            <v>#N/A</v>
          </cell>
          <cell r="AG520" t="e">
            <v>#N/A</v>
          </cell>
        </row>
        <row r="521">
          <cell r="R521">
            <v>0</v>
          </cell>
          <cell r="S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  <cell r="Y521" t="e">
            <v>#N/A</v>
          </cell>
          <cell r="Z521" t="e">
            <v>#N/A</v>
          </cell>
          <cell r="AA521" t="e">
            <v>#N/A</v>
          </cell>
          <cell r="AB521" t="e">
            <v>#N/A</v>
          </cell>
          <cell r="AC521" t="e">
            <v>#N/A</v>
          </cell>
          <cell r="AD521" t="e">
            <v>#N/A</v>
          </cell>
          <cell r="AE521" t="e">
            <v>#N/A</v>
          </cell>
          <cell r="AF521" t="e">
            <v>#N/A</v>
          </cell>
          <cell r="AG521" t="e">
            <v>#N/A</v>
          </cell>
        </row>
        <row r="522">
          <cell r="R522">
            <v>0</v>
          </cell>
          <cell r="S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  <cell r="Y522" t="e">
            <v>#N/A</v>
          </cell>
          <cell r="Z522" t="e">
            <v>#N/A</v>
          </cell>
          <cell r="AA522" t="e">
            <v>#N/A</v>
          </cell>
          <cell r="AB522" t="e">
            <v>#N/A</v>
          </cell>
          <cell r="AC522" t="e">
            <v>#N/A</v>
          </cell>
          <cell r="AD522" t="e">
            <v>#N/A</v>
          </cell>
          <cell r="AE522" t="e">
            <v>#N/A</v>
          </cell>
          <cell r="AF522" t="e">
            <v>#N/A</v>
          </cell>
          <cell r="AG522" t="e">
            <v>#N/A</v>
          </cell>
        </row>
        <row r="523">
          <cell r="R523">
            <v>0</v>
          </cell>
          <cell r="S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  <cell r="Y523" t="e">
            <v>#N/A</v>
          </cell>
          <cell r="Z523" t="e">
            <v>#N/A</v>
          </cell>
          <cell r="AA523" t="e">
            <v>#N/A</v>
          </cell>
          <cell r="AB523" t="e">
            <v>#N/A</v>
          </cell>
          <cell r="AC523" t="e">
            <v>#N/A</v>
          </cell>
          <cell r="AD523" t="e">
            <v>#N/A</v>
          </cell>
          <cell r="AE523" t="e">
            <v>#N/A</v>
          </cell>
          <cell r="AF523" t="e">
            <v>#N/A</v>
          </cell>
          <cell r="AG523" t="e">
            <v>#N/A</v>
          </cell>
        </row>
        <row r="524">
          <cell r="R524">
            <v>0</v>
          </cell>
          <cell r="S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  <cell r="Y524" t="e">
            <v>#N/A</v>
          </cell>
          <cell r="Z524" t="e">
            <v>#N/A</v>
          </cell>
          <cell r="AA524" t="e">
            <v>#N/A</v>
          </cell>
          <cell r="AB524" t="e">
            <v>#N/A</v>
          </cell>
          <cell r="AC524" t="e">
            <v>#N/A</v>
          </cell>
          <cell r="AD524" t="e">
            <v>#N/A</v>
          </cell>
          <cell r="AE524" t="e">
            <v>#N/A</v>
          </cell>
          <cell r="AF524" t="e">
            <v>#N/A</v>
          </cell>
          <cell r="AG524" t="e">
            <v>#N/A</v>
          </cell>
        </row>
        <row r="525">
          <cell r="R525">
            <v>0</v>
          </cell>
          <cell r="S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  <cell r="Y525" t="e">
            <v>#N/A</v>
          </cell>
          <cell r="Z525" t="e">
            <v>#N/A</v>
          </cell>
          <cell r="AA525" t="e">
            <v>#N/A</v>
          </cell>
          <cell r="AB525" t="e">
            <v>#N/A</v>
          </cell>
          <cell r="AC525" t="e">
            <v>#N/A</v>
          </cell>
          <cell r="AD525" t="e">
            <v>#N/A</v>
          </cell>
          <cell r="AE525" t="e">
            <v>#N/A</v>
          </cell>
          <cell r="AF525" t="e">
            <v>#N/A</v>
          </cell>
          <cell r="AG525" t="e">
            <v>#N/A</v>
          </cell>
        </row>
        <row r="526">
          <cell r="R526">
            <v>0</v>
          </cell>
          <cell r="S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  <cell r="Y526" t="e">
            <v>#N/A</v>
          </cell>
          <cell r="Z526" t="e">
            <v>#N/A</v>
          </cell>
          <cell r="AA526" t="e">
            <v>#N/A</v>
          </cell>
          <cell r="AB526" t="e">
            <v>#N/A</v>
          </cell>
          <cell r="AC526" t="e">
            <v>#N/A</v>
          </cell>
          <cell r="AD526" t="e">
            <v>#N/A</v>
          </cell>
          <cell r="AE526" t="e">
            <v>#N/A</v>
          </cell>
          <cell r="AF526" t="e">
            <v>#N/A</v>
          </cell>
          <cell r="AG526" t="e">
            <v>#N/A</v>
          </cell>
        </row>
        <row r="527">
          <cell r="R527">
            <v>0</v>
          </cell>
          <cell r="S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  <cell r="Y527" t="e">
            <v>#N/A</v>
          </cell>
          <cell r="Z527" t="e">
            <v>#N/A</v>
          </cell>
          <cell r="AA527" t="e">
            <v>#N/A</v>
          </cell>
          <cell r="AB527" t="e">
            <v>#N/A</v>
          </cell>
          <cell r="AC527" t="e">
            <v>#N/A</v>
          </cell>
          <cell r="AD527" t="e">
            <v>#N/A</v>
          </cell>
          <cell r="AE527" t="e">
            <v>#N/A</v>
          </cell>
          <cell r="AF527" t="e">
            <v>#N/A</v>
          </cell>
          <cell r="AG527" t="e">
            <v>#N/A</v>
          </cell>
        </row>
        <row r="528">
          <cell r="R528">
            <v>0</v>
          </cell>
          <cell r="S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  <cell r="Y528" t="e">
            <v>#N/A</v>
          </cell>
          <cell r="Z528" t="e">
            <v>#N/A</v>
          </cell>
          <cell r="AA528" t="e">
            <v>#N/A</v>
          </cell>
          <cell r="AB528" t="e">
            <v>#N/A</v>
          </cell>
          <cell r="AC528" t="e">
            <v>#N/A</v>
          </cell>
          <cell r="AD528" t="e">
            <v>#N/A</v>
          </cell>
          <cell r="AE528" t="e">
            <v>#N/A</v>
          </cell>
          <cell r="AF528" t="e">
            <v>#N/A</v>
          </cell>
          <cell r="AG528" t="e">
            <v>#N/A</v>
          </cell>
        </row>
        <row r="529">
          <cell r="R529">
            <v>0</v>
          </cell>
          <cell r="S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  <cell r="Y529" t="e">
            <v>#N/A</v>
          </cell>
          <cell r="Z529" t="e">
            <v>#N/A</v>
          </cell>
          <cell r="AA529" t="e">
            <v>#N/A</v>
          </cell>
          <cell r="AB529" t="e">
            <v>#N/A</v>
          </cell>
          <cell r="AC529" t="e">
            <v>#N/A</v>
          </cell>
          <cell r="AD529" t="e">
            <v>#N/A</v>
          </cell>
          <cell r="AE529" t="e">
            <v>#N/A</v>
          </cell>
          <cell r="AF529" t="e">
            <v>#N/A</v>
          </cell>
          <cell r="AG529" t="e">
            <v>#N/A</v>
          </cell>
        </row>
        <row r="530">
          <cell r="R530">
            <v>0</v>
          </cell>
          <cell r="S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  <cell r="Y530" t="e">
            <v>#N/A</v>
          </cell>
          <cell r="Z530" t="e">
            <v>#N/A</v>
          </cell>
          <cell r="AA530" t="e">
            <v>#N/A</v>
          </cell>
          <cell r="AB530" t="e">
            <v>#N/A</v>
          </cell>
          <cell r="AC530" t="e">
            <v>#N/A</v>
          </cell>
          <cell r="AD530" t="e">
            <v>#N/A</v>
          </cell>
          <cell r="AE530" t="e">
            <v>#N/A</v>
          </cell>
          <cell r="AF530" t="e">
            <v>#N/A</v>
          </cell>
          <cell r="AG530" t="e">
            <v>#N/A</v>
          </cell>
        </row>
        <row r="531">
          <cell r="R531">
            <v>0</v>
          </cell>
          <cell r="S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  <cell r="Y531" t="e">
            <v>#N/A</v>
          </cell>
          <cell r="Z531" t="e">
            <v>#N/A</v>
          </cell>
          <cell r="AA531" t="e">
            <v>#N/A</v>
          </cell>
          <cell r="AB531" t="e">
            <v>#N/A</v>
          </cell>
          <cell r="AC531" t="e">
            <v>#N/A</v>
          </cell>
          <cell r="AD531" t="e">
            <v>#N/A</v>
          </cell>
          <cell r="AE531" t="e">
            <v>#N/A</v>
          </cell>
          <cell r="AF531" t="e">
            <v>#N/A</v>
          </cell>
          <cell r="AG531" t="e">
            <v>#N/A</v>
          </cell>
        </row>
        <row r="532">
          <cell r="R532">
            <v>0</v>
          </cell>
          <cell r="S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  <cell r="Y532" t="e">
            <v>#N/A</v>
          </cell>
          <cell r="Z532" t="e">
            <v>#N/A</v>
          </cell>
          <cell r="AA532" t="e">
            <v>#N/A</v>
          </cell>
          <cell r="AB532" t="e">
            <v>#N/A</v>
          </cell>
          <cell r="AC532" t="e">
            <v>#N/A</v>
          </cell>
          <cell r="AD532" t="e">
            <v>#N/A</v>
          </cell>
          <cell r="AE532" t="e">
            <v>#N/A</v>
          </cell>
          <cell r="AF532" t="e">
            <v>#N/A</v>
          </cell>
          <cell r="AG532" t="e">
            <v>#N/A</v>
          </cell>
        </row>
        <row r="533">
          <cell r="R533">
            <v>0</v>
          </cell>
          <cell r="S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  <cell r="Y533" t="e">
            <v>#N/A</v>
          </cell>
          <cell r="Z533" t="e">
            <v>#N/A</v>
          </cell>
          <cell r="AA533" t="e">
            <v>#N/A</v>
          </cell>
          <cell r="AB533" t="e">
            <v>#N/A</v>
          </cell>
          <cell r="AC533" t="e">
            <v>#N/A</v>
          </cell>
          <cell r="AD533" t="e">
            <v>#N/A</v>
          </cell>
          <cell r="AE533" t="e">
            <v>#N/A</v>
          </cell>
          <cell r="AF533" t="e">
            <v>#N/A</v>
          </cell>
          <cell r="AG533" t="e">
            <v>#N/A</v>
          </cell>
        </row>
        <row r="534">
          <cell r="R534">
            <v>0</v>
          </cell>
          <cell r="S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  <cell r="Y534" t="e">
            <v>#N/A</v>
          </cell>
          <cell r="Z534" t="e">
            <v>#N/A</v>
          </cell>
          <cell r="AA534" t="e">
            <v>#N/A</v>
          </cell>
          <cell r="AB534" t="e">
            <v>#N/A</v>
          </cell>
          <cell r="AC534" t="e">
            <v>#N/A</v>
          </cell>
          <cell r="AD534" t="e">
            <v>#N/A</v>
          </cell>
          <cell r="AE534" t="e">
            <v>#N/A</v>
          </cell>
          <cell r="AF534" t="e">
            <v>#N/A</v>
          </cell>
          <cell r="AG534" t="e">
            <v>#N/A</v>
          </cell>
        </row>
        <row r="535">
          <cell r="R535">
            <v>0</v>
          </cell>
          <cell r="S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  <cell r="Y535" t="e">
            <v>#N/A</v>
          </cell>
          <cell r="Z535" t="e">
            <v>#N/A</v>
          </cell>
          <cell r="AA535" t="e">
            <v>#N/A</v>
          </cell>
          <cell r="AB535" t="e">
            <v>#N/A</v>
          </cell>
          <cell r="AC535" t="e">
            <v>#N/A</v>
          </cell>
          <cell r="AD535" t="e">
            <v>#N/A</v>
          </cell>
          <cell r="AE535" t="e">
            <v>#N/A</v>
          </cell>
          <cell r="AF535" t="e">
            <v>#N/A</v>
          </cell>
          <cell r="AG535" t="e">
            <v>#N/A</v>
          </cell>
        </row>
        <row r="536">
          <cell r="R536">
            <v>0</v>
          </cell>
          <cell r="S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  <cell r="Y536" t="e">
            <v>#N/A</v>
          </cell>
          <cell r="Z536" t="e">
            <v>#N/A</v>
          </cell>
          <cell r="AA536" t="e">
            <v>#N/A</v>
          </cell>
          <cell r="AB536" t="e">
            <v>#N/A</v>
          </cell>
          <cell r="AC536" t="e">
            <v>#N/A</v>
          </cell>
          <cell r="AD536" t="e">
            <v>#N/A</v>
          </cell>
          <cell r="AE536" t="e">
            <v>#N/A</v>
          </cell>
          <cell r="AF536" t="e">
            <v>#N/A</v>
          </cell>
          <cell r="AG536" t="e">
            <v>#N/A</v>
          </cell>
        </row>
        <row r="537">
          <cell r="R537">
            <v>0</v>
          </cell>
          <cell r="S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  <cell r="Y537" t="e">
            <v>#N/A</v>
          </cell>
          <cell r="Z537" t="e">
            <v>#N/A</v>
          </cell>
          <cell r="AA537" t="e">
            <v>#N/A</v>
          </cell>
          <cell r="AB537" t="e">
            <v>#N/A</v>
          </cell>
          <cell r="AC537" t="e">
            <v>#N/A</v>
          </cell>
          <cell r="AD537" t="e">
            <v>#N/A</v>
          </cell>
          <cell r="AE537" t="e">
            <v>#N/A</v>
          </cell>
          <cell r="AF537" t="e">
            <v>#N/A</v>
          </cell>
          <cell r="AG537" t="e">
            <v>#N/A</v>
          </cell>
        </row>
        <row r="538">
          <cell r="R538">
            <v>0</v>
          </cell>
          <cell r="S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  <cell r="Y538" t="e">
            <v>#N/A</v>
          </cell>
          <cell r="Z538" t="e">
            <v>#N/A</v>
          </cell>
          <cell r="AA538" t="e">
            <v>#N/A</v>
          </cell>
          <cell r="AB538" t="e">
            <v>#N/A</v>
          </cell>
          <cell r="AC538" t="e">
            <v>#N/A</v>
          </cell>
          <cell r="AD538" t="e">
            <v>#N/A</v>
          </cell>
          <cell r="AE538" t="e">
            <v>#N/A</v>
          </cell>
          <cell r="AF538" t="e">
            <v>#N/A</v>
          </cell>
          <cell r="AG538" t="e">
            <v>#N/A</v>
          </cell>
        </row>
        <row r="539">
          <cell r="R539">
            <v>0</v>
          </cell>
          <cell r="S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  <cell r="Y539" t="e">
            <v>#N/A</v>
          </cell>
          <cell r="Z539" t="e">
            <v>#N/A</v>
          </cell>
          <cell r="AA539" t="e">
            <v>#N/A</v>
          </cell>
          <cell r="AB539" t="e">
            <v>#N/A</v>
          </cell>
          <cell r="AC539" t="e">
            <v>#N/A</v>
          </cell>
          <cell r="AD539" t="e">
            <v>#N/A</v>
          </cell>
          <cell r="AE539" t="e">
            <v>#N/A</v>
          </cell>
          <cell r="AF539" t="e">
            <v>#N/A</v>
          </cell>
          <cell r="AG539" t="e">
            <v>#N/A</v>
          </cell>
        </row>
        <row r="540">
          <cell r="R540">
            <v>0</v>
          </cell>
          <cell r="S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  <cell r="Y540" t="e">
            <v>#N/A</v>
          </cell>
          <cell r="Z540" t="e">
            <v>#N/A</v>
          </cell>
          <cell r="AA540" t="e">
            <v>#N/A</v>
          </cell>
          <cell r="AB540" t="e">
            <v>#N/A</v>
          </cell>
          <cell r="AC540" t="e">
            <v>#N/A</v>
          </cell>
          <cell r="AD540" t="e">
            <v>#N/A</v>
          </cell>
          <cell r="AE540" t="e">
            <v>#N/A</v>
          </cell>
          <cell r="AF540" t="e">
            <v>#N/A</v>
          </cell>
          <cell r="AG540" t="e">
            <v>#N/A</v>
          </cell>
        </row>
        <row r="541">
          <cell r="R541">
            <v>0</v>
          </cell>
          <cell r="S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  <cell r="Y541" t="e">
            <v>#N/A</v>
          </cell>
          <cell r="Z541" t="e">
            <v>#N/A</v>
          </cell>
          <cell r="AA541" t="e">
            <v>#N/A</v>
          </cell>
          <cell r="AB541" t="e">
            <v>#N/A</v>
          </cell>
          <cell r="AC541" t="e">
            <v>#N/A</v>
          </cell>
          <cell r="AD541" t="e">
            <v>#N/A</v>
          </cell>
          <cell r="AE541" t="e">
            <v>#N/A</v>
          </cell>
          <cell r="AF541" t="e">
            <v>#N/A</v>
          </cell>
          <cell r="AG541" t="e">
            <v>#N/A</v>
          </cell>
        </row>
        <row r="542">
          <cell r="R542">
            <v>0</v>
          </cell>
          <cell r="S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  <cell r="Y542" t="e">
            <v>#N/A</v>
          </cell>
          <cell r="Z542" t="e">
            <v>#N/A</v>
          </cell>
          <cell r="AA542" t="e">
            <v>#N/A</v>
          </cell>
          <cell r="AB542" t="e">
            <v>#N/A</v>
          </cell>
          <cell r="AC542" t="e">
            <v>#N/A</v>
          </cell>
          <cell r="AD542" t="e">
            <v>#N/A</v>
          </cell>
          <cell r="AE542" t="e">
            <v>#N/A</v>
          </cell>
          <cell r="AF542" t="e">
            <v>#N/A</v>
          </cell>
          <cell r="AG542" t="e">
            <v>#N/A</v>
          </cell>
        </row>
        <row r="543">
          <cell r="R543">
            <v>0</v>
          </cell>
          <cell r="S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  <cell r="Y543" t="e">
            <v>#N/A</v>
          </cell>
          <cell r="Z543" t="e">
            <v>#N/A</v>
          </cell>
          <cell r="AA543" t="e">
            <v>#N/A</v>
          </cell>
          <cell r="AB543" t="e">
            <v>#N/A</v>
          </cell>
          <cell r="AC543" t="e">
            <v>#N/A</v>
          </cell>
          <cell r="AD543" t="e">
            <v>#N/A</v>
          </cell>
          <cell r="AE543" t="e">
            <v>#N/A</v>
          </cell>
          <cell r="AF543" t="e">
            <v>#N/A</v>
          </cell>
          <cell r="AG543" t="e">
            <v>#N/A</v>
          </cell>
        </row>
        <row r="544">
          <cell r="R544">
            <v>0</v>
          </cell>
          <cell r="S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  <cell r="Y544" t="e">
            <v>#N/A</v>
          </cell>
          <cell r="Z544" t="e">
            <v>#N/A</v>
          </cell>
          <cell r="AA544" t="e">
            <v>#N/A</v>
          </cell>
          <cell r="AB544" t="e">
            <v>#N/A</v>
          </cell>
          <cell r="AC544" t="e">
            <v>#N/A</v>
          </cell>
          <cell r="AD544" t="e">
            <v>#N/A</v>
          </cell>
          <cell r="AE544" t="e">
            <v>#N/A</v>
          </cell>
          <cell r="AF544" t="e">
            <v>#N/A</v>
          </cell>
          <cell r="AG544" t="e">
            <v>#N/A</v>
          </cell>
        </row>
        <row r="545">
          <cell r="R545">
            <v>0</v>
          </cell>
          <cell r="S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  <cell r="Y545" t="e">
            <v>#N/A</v>
          </cell>
          <cell r="Z545" t="e">
            <v>#N/A</v>
          </cell>
          <cell r="AA545" t="e">
            <v>#N/A</v>
          </cell>
          <cell r="AB545" t="e">
            <v>#N/A</v>
          </cell>
          <cell r="AC545" t="e">
            <v>#N/A</v>
          </cell>
          <cell r="AD545" t="e">
            <v>#N/A</v>
          </cell>
          <cell r="AE545" t="e">
            <v>#N/A</v>
          </cell>
          <cell r="AF545" t="e">
            <v>#N/A</v>
          </cell>
          <cell r="AG545" t="e">
            <v>#N/A</v>
          </cell>
        </row>
        <row r="546">
          <cell r="R546">
            <v>0</v>
          </cell>
          <cell r="S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  <cell r="Y546" t="e">
            <v>#N/A</v>
          </cell>
          <cell r="Z546" t="e">
            <v>#N/A</v>
          </cell>
          <cell r="AA546" t="e">
            <v>#N/A</v>
          </cell>
          <cell r="AB546" t="e">
            <v>#N/A</v>
          </cell>
          <cell r="AC546" t="e">
            <v>#N/A</v>
          </cell>
          <cell r="AD546" t="e">
            <v>#N/A</v>
          </cell>
          <cell r="AE546" t="e">
            <v>#N/A</v>
          </cell>
          <cell r="AF546" t="e">
            <v>#N/A</v>
          </cell>
          <cell r="AG546" t="e">
            <v>#N/A</v>
          </cell>
        </row>
        <row r="547">
          <cell r="R547">
            <v>0</v>
          </cell>
          <cell r="S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  <cell r="Y547" t="e">
            <v>#N/A</v>
          </cell>
          <cell r="Z547" t="e">
            <v>#N/A</v>
          </cell>
          <cell r="AA547" t="e">
            <v>#N/A</v>
          </cell>
          <cell r="AB547" t="e">
            <v>#N/A</v>
          </cell>
          <cell r="AC547" t="e">
            <v>#N/A</v>
          </cell>
          <cell r="AD547" t="e">
            <v>#N/A</v>
          </cell>
          <cell r="AE547" t="e">
            <v>#N/A</v>
          </cell>
          <cell r="AF547" t="e">
            <v>#N/A</v>
          </cell>
          <cell r="AG547" t="e">
            <v>#N/A</v>
          </cell>
        </row>
        <row r="548">
          <cell r="R548">
            <v>0</v>
          </cell>
          <cell r="S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  <cell r="Y548" t="e">
            <v>#N/A</v>
          </cell>
          <cell r="Z548" t="e">
            <v>#N/A</v>
          </cell>
          <cell r="AA548" t="e">
            <v>#N/A</v>
          </cell>
          <cell r="AB548" t="e">
            <v>#N/A</v>
          </cell>
          <cell r="AC548" t="e">
            <v>#N/A</v>
          </cell>
          <cell r="AD548" t="e">
            <v>#N/A</v>
          </cell>
          <cell r="AE548" t="e">
            <v>#N/A</v>
          </cell>
          <cell r="AF548" t="e">
            <v>#N/A</v>
          </cell>
          <cell r="AG548" t="e">
            <v>#N/A</v>
          </cell>
        </row>
        <row r="549">
          <cell r="R549">
            <v>0</v>
          </cell>
          <cell r="S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  <cell r="Y549" t="e">
            <v>#N/A</v>
          </cell>
          <cell r="Z549" t="e">
            <v>#N/A</v>
          </cell>
          <cell r="AA549" t="e">
            <v>#N/A</v>
          </cell>
          <cell r="AB549" t="e">
            <v>#N/A</v>
          </cell>
          <cell r="AC549" t="e">
            <v>#N/A</v>
          </cell>
          <cell r="AD549" t="e">
            <v>#N/A</v>
          </cell>
          <cell r="AE549" t="e">
            <v>#N/A</v>
          </cell>
          <cell r="AF549" t="e">
            <v>#N/A</v>
          </cell>
          <cell r="AG549" t="e">
            <v>#N/A</v>
          </cell>
        </row>
        <row r="550">
          <cell r="R550">
            <v>0</v>
          </cell>
          <cell r="S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  <cell r="Y550" t="e">
            <v>#N/A</v>
          </cell>
          <cell r="Z550" t="e">
            <v>#N/A</v>
          </cell>
          <cell r="AA550" t="e">
            <v>#N/A</v>
          </cell>
          <cell r="AB550" t="e">
            <v>#N/A</v>
          </cell>
          <cell r="AC550" t="e">
            <v>#N/A</v>
          </cell>
          <cell r="AD550" t="e">
            <v>#N/A</v>
          </cell>
          <cell r="AE550" t="e">
            <v>#N/A</v>
          </cell>
          <cell r="AF550" t="e">
            <v>#N/A</v>
          </cell>
          <cell r="AG550" t="e">
            <v>#N/A</v>
          </cell>
        </row>
        <row r="551">
          <cell r="R551">
            <v>0</v>
          </cell>
          <cell r="S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  <cell r="Y551" t="e">
            <v>#N/A</v>
          </cell>
          <cell r="Z551" t="e">
            <v>#N/A</v>
          </cell>
          <cell r="AA551" t="e">
            <v>#N/A</v>
          </cell>
          <cell r="AB551" t="e">
            <v>#N/A</v>
          </cell>
          <cell r="AC551" t="e">
            <v>#N/A</v>
          </cell>
          <cell r="AD551" t="e">
            <v>#N/A</v>
          </cell>
          <cell r="AE551" t="e">
            <v>#N/A</v>
          </cell>
          <cell r="AF551" t="e">
            <v>#N/A</v>
          </cell>
          <cell r="AG551" t="e">
            <v>#N/A</v>
          </cell>
        </row>
        <row r="552">
          <cell r="R552">
            <v>0</v>
          </cell>
          <cell r="S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  <cell r="Y552" t="e">
            <v>#N/A</v>
          </cell>
          <cell r="Z552" t="e">
            <v>#N/A</v>
          </cell>
          <cell r="AA552" t="e">
            <v>#N/A</v>
          </cell>
          <cell r="AB552" t="e">
            <v>#N/A</v>
          </cell>
          <cell r="AC552" t="e">
            <v>#N/A</v>
          </cell>
          <cell r="AD552" t="e">
            <v>#N/A</v>
          </cell>
          <cell r="AE552" t="e">
            <v>#N/A</v>
          </cell>
          <cell r="AF552" t="e">
            <v>#N/A</v>
          </cell>
          <cell r="AG552" t="e">
            <v>#N/A</v>
          </cell>
        </row>
        <row r="553">
          <cell r="R553">
            <v>0</v>
          </cell>
          <cell r="S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  <cell r="Y553" t="e">
            <v>#N/A</v>
          </cell>
          <cell r="Z553" t="e">
            <v>#N/A</v>
          </cell>
          <cell r="AA553" t="e">
            <v>#N/A</v>
          </cell>
          <cell r="AB553" t="e">
            <v>#N/A</v>
          </cell>
          <cell r="AC553" t="e">
            <v>#N/A</v>
          </cell>
          <cell r="AD553" t="e">
            <v>#N/A</v>
          </cell>
          <cell r="AE553" t="e">
            <v>#N/A</v>
          </cell>
          <cell r="AF553" t="e">
            <v>#N/A</v>
          </cell>
          <cell r="AG553" t="e">
            <v>#N/A</v>
          </cell>
        </row>
        <row r="554">
          <cell r="R554">
            <v>0</v>
          </cell>
          <cell r="S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  <cell r="Y554" t="e">
            <v>#N/A</v>
          </cell>
          <cell r="Z554" t="e">
            <v>#N/A</v>
          </cell>
          <cell r="AA554" t="e">
            <v>#N/A</v>
          </cell>
          <cell r="AB554" t="e">
            <v>#N/A</v>
          </cell>
          <cell r="AC554" t="e">
            <v>#N/A</v>
          </cell>
          <cell r="AD554" t="e">
            <v>#N/A</v>
          </cell>
          <cell r="AE554" t="e">
            <v>#N/A</v>
          </cell>
          <cell r="AF554" t="e">
            <v>#N/A</v>
          </cell>
          <cell r="AG554" t="e">
            <v>#N/A</v>
          </cell>
        </row>
        <row r="555">
          <cell r="R555">
            <v>0</v>
          </cell>
          <cell r="S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  <cell r="Y555" t="e">
            <v>#N/A</v>
          </cell>
          <cell r="Z555" t="e">
            <v>#N/A</v>
          </cell>
          <cell r="AA555" t="e">
            <v>#N/A</v>
          </cell>
          <cell r="AB555" t="e">
            <v>#N/A</v>
          </cell>
          <cell r="AC555" t="e">
            <v>#N/A</v>
          </cell>
          <cell r="AD555" t="e">
            <v>#N/A</v>
          </cell>
          <cell r="AE555" t="e">
            <v>#N/A</v>
          </cell>
          <cell r="AF555" t="e">
            <v>#N/A</v>
          </cell>
          <cell r="AG555" t="e">
            <v>#N/A</v>
          </cell>
        </row>
        <row r="556">
          <cell r="R556">
            <v>0</v>
          </cell>
          <cell r="S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  <cell r="Y556" t="e">
            <v>#N/A</v>
          </cell>
          <cell r="Z556" t="e">
            <v>#N/A</v>
          </cell>
          <cell r="AA556" t="e">
            <v>#N/A</v>
          </cell>
          <cell r="AB556" t="e">
            <v>#N/A</v>
          </cell>
          <cell r="AC556" t="e">
            <v>#N/A</v>
          </cell>
          <cell r="AD556" t="e">
            <v>#N/A</v>
          </cell>
          <cell r="AE556" t="e">
            <v>#N/A</v>
          </cell>
          <cell r="AF556" t="e">
            <v>#N/A</v>
          </cell>
          <cell r="AG556" t="e">
            <v>#N/A</v>
          </cell>
        </row>
        <row r="557">
          <cell r="R557">
            <v>0</v>
          </cell>
          <cell r="S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  <cell r="Y557" t="e">
            <v>#N/A</v>
          </cell>
          <cell r="Z557" t="e">
            <v>#N/A</v>
          </cell>
          <cell r="AA557" t="e">
            <v>#N/A</v>
          </cell>
          <cell r="AB557" t="e">
            <v>#N/A</v>
          </cell>
          <cell r="AC557" t="e">
            <v>#N/A</v>
          </cell>
          <cell r="AD557" t="e">
            <v>#N/A</v>
          </cell>
          <cell r="AE557" t="e">
            <v>#N/A</v>
          </cell>
          <cell r="AF557" t="e">
            <v>#N/A</v>
          </cell>
          <cell r="AG557" t="e">
            <v>#N/A</v>
          </cell>
        </row>
        <row r="558">
          <cell r="R558">
            <v>0</v>
          </cell>
          <cell r="S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  <cell r="Y558" t="e">
            <v>#N/A</v>
          </cell>
          <cell r="Z558" t="e">
            <v>#N/A</v>
          </cell>
          <cell r="AA558" t="e">
            <v>#N/A</v>
          </cell>
          <cell r="AB558" t="e">
            <v>#N/A</v>
          </cell>
          <cell r="AC558" t="e">
            <v>#N/A</v>
          </cell>
          <cell r="AD558" t="e">
            <v>#N/A</v>
          </cell>
          <cell r="AE558" t="e">
            <v>#N/A</v>
          </cell>
          <cell r="AF558" t="e">
            <v>#N/A</v>
          </cell>
          <cell r="AG558" t="e">
            <v>#N/A</v>
          </cell>
        </row>
        <row r="559">
          <cell r="R559">
            <v>0</v>
          </cell>
          <cell r="S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  <cell r="Y559" t="e">
            <v>#N/A</v>
          </cell>
          <cell r="Z559" t="e">
            <v>#N/A</v>
          </cell>
          <cell r="AA559" t="e">
            <v>#N/A</v>
          </cell>
          <cell r="AB559" t="e">
            <v>#N/A</v>
          </cell>
          <cell r="AC559" t="e">
            <v>#N/A</v>
          </cell>
          <cell r="AD559" t="e">
            <v>#N/A</v>
          </cell>
          <cell r="AE559" t="e">
            <v>#N/A</v>
          </cell>
          <cell r="AF559" t="e">
            <v>#N/A</v>
          </cell>
          <cell r="AG559" t="e">
            <v>#N/A</v>
          </cell>
        </row>
        <row r="560">
          <cell r="R560">
            <v>0</v>
          </cell>
          <cell r="S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  <cell r="Y560" t="e">
            <v>#N/A</v>
          </cell>
          <cell r="Z560" t="e">
            <v>#N/A</v>
          </cell>
          <cell r="AA560" t="e">
            <v>#N/A</v>
          </cell>
          <cell r="AB560" t="e">
            <v>#N/A</v>
          </cell>
          <cell r="AC560" t="e">
            <v>#N/A</v>
          </cell>
          <cell r="AD560" t="e">
            <v>#N/A</v>
          </cell>
          <cell r="AE560" t="e">
            <v>#N/A</v>
          </cell>
          <cell r="AF560" t="e">
            <v>#N/A</v>
          </cell>
          <cell r="AG560" t="e">
            <v>#N/A</v>
          </cell>
        </row>
        <row r="561">
          <cell r="R561">
            <v>0</v>
          </cell>
          <cell r="S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  <cell r="Y561" t="e">
            <v>#N/A</v>
          </cell>
          <cell r="Z561" t="e">
            <v>#N/A</v>
          </cell>
          <cell r="AA561" t="e">
            <v>#N/A</v>
          </cell>
          <cell r="AB561" t="e">
            <v>#N/A</v>
          </cell>
          <cell r="AC561" t="e">
            <v>#N/A</v>
          </cell>
          <cell r="AD561" t="e">
            <v>#N/A</v>
          </cell>
          <cell r="AE561" t="e">
            <v>#N/A</v>
          </cell>
          <cell r="AF561" t="e">
            <v>#N/A</v>
          </cell>
          <cell r="AG561" t="e">
            <v>#N/A</v>
          </cell>
        </row>
        <row r="562">
          <cell r="R562">
            <v>0</v>
          </cell>
          <cell r="S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  <cell r="Y562" t="e">
            <v>#N/A</v>
          </cell>
          <cell r="Z562" t="e">
            <v>#N/A</v>
          </cell>
          <cell r="AA562" t="e">
            <v>#N/A</v>
          </cell>
          <cell r="AB562" t="e">
            <v>#N/A</v>
          </cell>
          <cell r="AC562" t="e">
            <v>#N/A</v>
          </cell>
          <cell r="AD562" t="e">
            <v>#N/A</v>
          </cell>
          <cell r="AE562" t="e">
            <v>#N/A</v>
          </cell>
          <cell r="AF562" t="e">
            <v>#N/A</v>
          </cell>
          <cell r="AG562" t="e">
            <v>#N/A</v>
          </cell>
        </row>
        <row r="563">
          <cell r="R563">
            <v>0</v>
          </cell>
          <cell r="S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  <cell r="Y563" t="e">
            <v>#N/A</v>
          </cell>
          <cell r="Z563" t="e">
            <v>#N/A</v>
          </cell>
          <cell r="AA563" t="e">
            <v>#N/A</v>
          </cell>
          <cell r="AB563" t="e">
            <v>#N/A</v>
          </cell>
          <cell r="AC563" t="e">
            <v>#N/A</v>
          </cell>
          <cell r="AD563" t="e">
            <v>#N/A</v>
          </cell>
          <cell r="AE563" t="e">
            <v>#N/A</v>
          </cell>
          <cell r="AF563" t="e">
            <v>#N/A</v>
          </cell>
          <cell r="AG563" t="e">
            <v>#N/A</v>
          </cell>
        </row>
        <row r="564">
          <cell r="R564">
            <v>0</v>
          </cell>
          <cell r="S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  <cell r="Y564" t="e">
            <v>#N/A</v>
          </cell>
          <cell r="Z564" t="e">
            <v>#N/A</v>
          </cell>
          <cell r="AA564" t="e">
            <v>#N/A</v>
          </cell>
          <cell r="AB564" t="e">
            <v>#N/A</v>
          </cell>
          <cell r="AC564" t="e">
            <v>#N/A</v>
          </cell>
          <cell r="AD564" t="e">
            <v>#N/A</v>
          </cell>
          <cell r="AE564" t="e">
            <v>#N/A</v>
          </cell>
          <cell r="AF564" t="e">
            <v>#N/A</v>
          </cell>
          <cell r="AG564" t="e">
            <v>#N/A</v>
          </cell>
        </row>
        <row r="565">
          <cell r="R565">
            <v>0</v>
          </cell>
          <cell r="S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  <cell r="Y565" t="e">
            <v>#N/A</v>
          </cell>
          <cell r="Z565" t="e">
            <v>#N/A</v>
          </cell>
          <cell r="AA565" t="e">
            <v>#N/A</v>
          </cell>
          <cell r="AB565" t="e">
            <v>#N/A</v>
          </cell>
          <cell r="AC565" t="e">
            <v>#N/A</v>
          </cell>
          <cell r="AD565" t="e">
            <v>#N/A</v>
          </cell>
          <cell r="AE565" t="e">
            <v>#N/A</v>
          </cell>
          <cell r="AF565" t="e">
            <v>#N/A</v>
          </cell>
          <cell r="AG565" t="e">
            <v>#N/A</v>
          </cell>
        </row>
        <row r="566">
          <cell r="R566">
            <v>0</v>
          </cell>
          <cell r="S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  <cell r="Y566" t="e">
            <v>#N/A</v>
          </cell>
          <cell r="Z566" t="e">
            <v>#N/A</v>
          </cell>
          <cell r="AA566" t="e">
            <v>#N/A</v>
          </cell>
          <cell r="AB566" t="e">
            <v>#N/A</v>
          </cell>
          <cell r="AC566" t="e">
            <v>#N/A</v>
          </cell>
          <cell r="AD566" t="e">
            <v>#N/A</v>
          </cell>
          <cell r="AE566" t="e">
            <v>#N/A</v>
          </cell>
          <cell r="AF566" t="e">
            <v>#N/A</v>
          </cell>
          <cell r="AG566" t="e">
            <v>#N/A</v>
          </cell>
        </row>
        <row r="567">
          <cell r="R567">
            <v>0</v>
          </cell>
          <cell r="S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  <cell r="Y567" t="e">
            <v>#N/A</v>
          </cell>
          <cell r="Z567" t="e">
            <v>#N/A</v>
          </cell>
          <cell r="AA567" t="e">
            <v>#N/A</v>
          </cell>
          <cell r="AB567" t="e">
            <v>#N/A</v>
          </cell>
          <cell r="AC567" t="e">
            <v>#N/A</v>
          </cell>
          <cell r="AD567" t="e">
            <v>#N/A</v>
          </cell>
          <cell r="AE567" t="e">
            <v>#N/A</v>
          </cell>
          <cell r="AF567" t="e">
            <v>#N/A</v>
          </cell>
          <cell r="AG567" t="e">
            <v>#N/A</v>
          </cell>
        </row>
        <row r="568">
          <cell r="R568">
            <v>0</v>
          </cell>
          <cell r="S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  <cell r="Y568" t="e">
            <v>#N/A</v>
          </cell>
          <cell r="Z568" t="e">
            <v>#N/A</v>
          </cell>
          <cell r="AA568" t="e">
            <v>#N/A</v>
          </cell>
          <cell r="AB568" t="e">
            <v>#N/A</v>
          </cell>
          <cell r="AC568" t="e">
            <v>#N/A</v>
          </cell>
          <cell r="AD568" t="e">
            <v>#N/A</v>
          </cell>
          <cell r="AE568" t="e">
            <v>#N/A</v>
          </cell>
          <cell r="AF568" t="e">
            <v>#N/A</v>
          </cell>
          <cell r="AG568" t="e">
            <v>#N/A</v>
          </cell>
        </row>
        <row r="569">
          <cell r="R569">
            <v>0</v>
          </cell>
          <cell r="S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  <cell r="Y569" t="e">
            <v>#N/A</v>
          </cell>
          <cell r="Z569" t="e">
            <v>#N/A</v>
          </cell>
          <cell r="AA569" t="e">
            <v>#N/A</v>
          </cell>
          <cell r="AB569" t="e">
            <v>#N/A</v>
          </cell>
          <cell r="AC569" t="e">
            <v>#N/A</v>
          </cell>
          <cell r="AD569" t="e">
            <v>#N/A</v>
          </cell>
          <cell r="AE569" t="e">
            <v>#N/A</v>
          </cell>
          <cell r="AF569" t="e">
            <v>#N/A</v>
          </cell>
          <cell r="AG569" t="e">
            <v>#N/A</v>
          </cell>
        </row>
        <row r="570">
          <cell r="R570">
            <v>0</v>
          </cell>
          <cell r="S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  <cell r="Y570" t="e">
            <v>#N/A</v>
          </cell>
          <cell r="Z570" t="e">
            <v>#N/A</v>
          </cell>
          <cell r="AA570" t="e">
            <v>#N/A</v>
          </cell>
          <cell r="AB570" t="e">
            <v>#N/A</v>
          </cell>
          <cell r="AC570" t="e">
            <v>#N/A</v>
          </cell>
          <cell r="AD570" t="e">
            <v>#N/A</v>
          </cell>
          <cell r="AE570" t="e">
            <v>#N/A</v>
          </cell>
          <cell r="AF570" t="e">
            <v>#N/A</v>
          </cell>
          <cell r="AG570" t="e">
            <v>#N/A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ROSyspro" connectionId="1" xr16:uid="{00000000-0016-0000-0700-000000000000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WorkCentre" tableColumnId="1"/>
      <queryTableField id="2" name="Description" tableColumnId="2"/>
      <queryTableField id="3" name="RunTimeRate1" tableColumnId="3"/>
      <queryTableField id="4" name="FixOverRate1" tableColumnId="4"/>
      <queryTableField id="5" name="VarOverRate1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_from_ROSyspro" displayName="Table_Query_from_ROSyspro" ref="A1:G91" tableType="queryTable" totalsRowShown="0">
  <autoFilter ref="A1:G91" xr:uid="{00000000-0009-0000-0100-000001000000}"/>
  <tableColumns count="7">
    <tableColumn id="1" xr3:uid="{00000000-0010-0000-0000-000001000000}" uniqueName="1" name="WorkCentre" queryTableFieldId="1"/>
    <tableColumn id="2" xr3:uid="{00000000-0010-0000-0000-000002000000}" uniqueName="2" name="Description" queryTableFieldId="2"/>
    <tableColumn id="3" xr3:uid="{00000000-0010-0000-0000-000003000000}" uniqueName="3" name="RunTimeRate1" queryTableFieldId="3"/>
    <tableColumn id="4" xr3:uid="{00000000-0010-0000-0000-000004000000}" uniqueName="4" name="FixOverRate1" queryTableFieldId="4"/>
    <tableColumn id="5" xr3:uid="{00000000-0010-0000-0000-000005000000}" uniqueName="5" name="VarOverRate1" queryTableFieldId="5"/>
    <tableColumn id="6" xr3:uid="{00000000-0010-0000-0000-000006000000}" uniqueName="6" name="Total" queryTableFieldId="6" dataDxfId="0">
      <calculatedColumnFormula>SUM(C2:E2)</calculatedColumnFormula>
    </tableColumn>
    <tableColumn id="7" xr3:uid="{2D9B649E-7339-4488-8D75-EA5627254CAD}" uniqueName="7" name="Column1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BD109"/>
  <sheetViews>
    <sheetView zoomScaleNormal="100" workbookViewId="0">
      <pane ySplit="4" topLeftCell="A5" activePane="bottomLeft" state="frozen"/>
      <selection pane="bottomLeft" activeCell="AB13" sqref="AB13"/>
    </sheetView>
  </sheetViews>
  <sheetFormatPr defaultRowHeight="15" outlineLevelCol="1" x14ac:dyDescent="0.25"/>
  <cols>
    <col min="1" max="1" width="22.5703125" customWidth="1"/>
    <col min="2" max="2" width="38.85546875" bestFit="1" customWidth="1"/>
    <col min="3" max="3" width="19.5703125" style="39" customWidth="1"/>
    <col min="4" max="4" width="9.5703125" bestFit="1" customWidth="1"/>
    <col min="5" max="5" width="12.7109375" customWidth="1"/>
    <col min="6" max="6" width="10.140625" style="40" customWidth="1"/>
    <col min="7" max="7" width="9.5703125" style="39" bestFit="1" customWidth="1"/>
    <col min="8" max="8" width="9.140625" style="39" hidden="1" customWidth="1" outlineLevel="1"/>
    <col min="9" max="9" width="15.85546875" hidden="1" customWidth="1" outlineLevel="1"/>
    <col min="10" max="10" width="19.7109375" style="29" hidden="1" customWidth="1" outlineLevel="1"/>
    <col min="11" max="11" width="9.140625" hidden="1" customWidth="1" outlineLevel="1"/>
    <col min="12" max="12" width="23.5703125" style="29" hidden="1" customWidth="1" outlineLevel="1"/>
    <col min="13" max="13" width="14.42578125" hidden="1" customWidth="1" outlineLevel="1"/>
    <col min="14" max="15" width="9.140625" hidden="1" customWidth="1" outlineLevel="1"/>
    <col min="16" max="16" width="7.5703125" style="39" hidden="1" customWidth="1" outlineLevel="1"/>
    <col min="17" max="17" width="10.140625" style="39" hidden="1" customWidth="1" outlineLevel="1"/>
    <col min="18" max="19" width="9.140625" hidden="1" customWidth="1" outlineLevel="1"/>
    <col min="20" max="20" width="8.42578125" style="39" hidden="1" customWidth="1" outlineLevel="1"/>
    <col min="21" max="21" width="5.28515625" hidden="1" customWidth="1" outlineLevel="1"/>
    <col min="22" max="22" width="9.140625" hidden="1" customWidth="1" outlineLevel="1"/>
    <col min="23" max="23" width="8.42578125" style="39" hidden="1" customWidth="1" outlineLevel="1"/>
    <col min="24" max="27" width="9.140625" hidden="1" customWidth="1" outlineLevel="1"/>
    <col min="28" max="28" width="9.140625" collapsed="1"/>
    <col min="32" max="32" width="7.7109375" bestFit="1" customWidth="1"/>
    <col min="33" max="33" width="7.7109375" customWidth="1"/>
    <col min="34" max="34" width="9.140625" style="58"/>
    <col min="35" max="35" width="12" bestFit="1" customWidth="1"/>
    <col min="38" max="38" width="7.7109375" bestFit="1" customWidth="1"/>
    <col min="44" max="44" width="9.140625" customWidth="1"/>
    <col min="54" max="54" width="9.140625" style="3"/>
  </cols>
  <sheetData>
    <row r="1" spans="1:56" s="160" customFormat="1" ht="23.25" x14ac:dyDescent="0.35">
      <c r="A1" s="197" t="s">
        <v>407</v>
      </c>
      <c r="C1" s="161"/>
      <c r="D1" s="198"/>
      <c r="E1" s="198"/>
      <c r="F1" s="199"/>
      <c r="G1" s="200"/>
      <c r="H1" s="161"/>
      <c r="J1" s="201"/>
      <c r="L1" s="201" t="s">
        <v>1010</v>
      </c>
      <c r="M1" s="160">
        <v>46</v>
      </c>
      <c r="N1" s="160">
        <v>67</v>
      </c>
      <c r="P1" s="161">
        <v>81</v>
      </c>
      <c r="Q1" s="161">
        <v>104</v>
      </c>
      <c r="S1" s="160">
        <v>115</v>
      </c>
      <c r="T1" s="161">
        <v>142</v>
      </c>
      <c r="W1" s="161">
        <v>169</v>
      </c>
      <c r="BB1" s="180"/>
    </row>
    <row r="2" spans="1:56" ht="27" customHeight="1" x14ac:dyDescent="0.25">
      <c r="A2" s="7"/>
      <c r="B2" s="22" t="s">
        <v>367</v>
      </c>
      <c r="C2" s="97"/>
      <c r="D2" s="7"/>
      <c r="E2" s="7"/>
      <c r="F2" s="43"/>
      <c r="G2" s="38"/>
      <c r="I2" s="6"/>
      <c r="K2" s="39"/>
      <c r="M2" s="216" t="s">
        <v>605</v>
      </c>
      <c r="N2" s="216"/>
      <c r="O2" s="6"/>
      <c r="P2" s="216" t="s">
        <v>1058</v>
      </c>
      <c r="Q2" s="216"/>
      <c r="R2" s="6"/>
      <c r="S2" s="216" t="s">
        <v>809</v>
      </c>
      <c r="T2" s="216"/>
      <c r="U2" s="6"/>
      <c r="V2" s="216" t="s">
        <v>810</v>
      </c>
      <c r="W2" s="216"/>
      <c r="X2" s="6"/>
      <c r="Y2" s="120"/>
      <c r="Z2" s="120" t="s">
        <v>453</v>
      </c>
      <c r="AA2" s="120"/>
      <c r="AC2" s="120"/>
      <c r="AD2" s="120" t="s">
        <v>824</v>
      </c>
      <c r="AE2" s="120"/>
      <c r="BB2" s="145" t="s">
        <v>968</v>
      </c>
    </row>
    <row r="3" spans="1:56" x14ac:dyDescent="0.25">
      <c r="A3" s="23" t="s">
        <v>456</v>
      </c>
      <c r="B3" s="7"/>
      <c r="C3" s="38" t="s">
        <v>495</v>
      </c>
      <c r="D3" s="7" t="s">
        <v>457</v>
      </c>
      <c r="E3" s="7"/>
      <c r="F3" s="43"/>
      <c r="G3" s="38"/>
      <c r="I3" s="63"/>
      <c r="K3" s="39"/>
      <c r="M3" s="6" t="s">
        <v>607</v>
      </c>
      <c r="N3" s="6" t="s">
        <v>606</v>
      </c>
      <c r="O3" s="6"/>
      <c r="P3" s="121" t="s">
        <v>607</v>
      </c>
      <c r="Q3" s="121" t="s">
        <v>606</v>
      </c>
      <c r="R3" s="6"/>
      <c r="S3" s="121" t="s">
        <v>607</v>
      </c>
      <c r="T3" s="121" t="s">
        <v>606</v>
      </c>
      <c r="U3" s="6"/>
      <c r="V3" s="121" t="s">
        <v>607</v>
      </c>
      <c r="W3" s="121" t="s">
        <v>606</v>
      </c>
      <c r="X3" s="6"/>
      <c r="Y3" s="6" t="s">
        <v>821</v>
      </c>
      <c r="Z3" s="6" t="s">
        <v>607</v>
      </c>
      <c r="AA3" s="6" t="s">
        <v>606</v>
      </c>
      <c r="AC3" s="6" t="s">
        <v>821</v>
      </c>
      <c r="AD3" s="6" t="s">
        <v>607</v>
      </c>
      <c r="AE3" s="6" t="s">
        <v>606</v>
      </c>
      <c r="AF3" s="6" t="s">
        <v>855</v>
      </c>
      <c r="AG3" s="6"/>
      <c r="AH3" s="127" t="s">
        <v>1384</v>
      </c>
      <c r="AI3" s="6"/>
      <c r="AJ3" s="129" t="s">
        <v>1376</v>
      </c>
      <c r="AK3" s="129">
        <v>46054</v>
      </c>
      <c r="AL3" s="129">
        <v>45870</v>
      </c>
      <c r="AM3" s="129">
        <v>45689</v>
      </c>
      <c r="AN3" s="129">
        <v>45323</v>
      </c>
      <c r="AO3" s="129">
        <v>45199</v>
      </c>
      <c r="AP3" s="129">
        <v>44958</v>
      </c>
      <c r="AQ3" s="129">
        <v>44927</v>
      </c>
      <c r="AR3" s="129">
        <v>44804</v>
      </c>
      <c r="AS3" s="129">
        <v>44620</v>
      </c>
      <c r="AT3" s="129">
        <v>44440</v>
      </c>
      <c r="AU3" s="129">
        <v>44248</v>
      </c>
      <c r="AV3" s="129">
        <v>43862</v>
      </c>
      <c r="AW3" s="129">
        <v>43497</v>
      </c>
      <c r="AX3" s="130">
        <v>43132</v>
      </c>
      <c r="AY3" s="129">
        <v>42767</v>
      </c>
      <c r="AZ3" s="129">
        <v>42401</v>
      </c>
      <c r="BB3" s="3" t="e">
        <f ca="1">AVERAGE(BB5:BB116)</f>
        <v>#DIV/0!</v>
      </c>
    </row>
    <row r="4" spans="1:56" x14ac:dyDescent="0.25">
      <c r="A4" s="24" t="s">
        <v>458</v>
      </c>
      <c r="B4" s="24" t="s">
        <v>459</v>
      </c>
      <c r="C4" s="98"/>
      <c r="D4" s="7"/>
      <c r="E4" s="7"/>
      <c r="F4" s="43" t="s">
        <v>477</v>
      </c>
      <c r="G4" s="38" t="s">
        <v>478</v>
      </c>
      <c r="I4" t="s">
        <v>600</v>
      </c>
      <c r="J4" s="29" t="s">
        <v>610</v>
      </c>
      <c r="L4" s="29" t="s">
        <v>492</v>
      </c>
      <c r="M4" s="59">
        <f>HLOOKUP($B$14,Overhead!$E:$E,M$1,FALSE)</f>
        <v>301413.48547393532</v>
      </c>
      <c r="N4" s="59">
        <f>HLOOKUP($B$14,Overhead!$E:$E,N$1,FALSE)</f>
        <v>19679.792775401071</v>
      </c>
      <c r="P4" s="59">
        <f>HLOOKUP($B$14,Overhead!$E:$E,P$1,FALSE)</f>
        <v>151950.60872727275</v>
      </c>
      <c r="Q4" s="59">
        <f>HLOOKUP($B$14,Overhead!$E:$E,Q$1,FALSE)</f>
        <v>177767.44894933095</v>
      </c>
      <c r="S4" s="59">
        <f>HLOOKUP($B$14,Overhead!$E:$E,S$1,FALSE)</f>
        <v>691435.61726746662</v>
      </c>
      <c r="T4" s="59">
        <f>HLOOKUP($B$14,Overhead!$E:$E,T$1,FALSE)</f>
        <v>256024.40454545451</v>
      </c>
      <c r="W4" s="59">
        <f ca="1">HLOOKUP($B$14,Overhead!$E:$E,W$1,FALSE)</f>
        <v>75138.443054259842</v>
      </c>
      <c r="Y4" s="59">
        <f ca="1">SUM(Y5:Y13)</f>
        <v>3601081.2627444798</v>
      </c>
      <c r="Z4" s="59">
        <f>+M4+P4+S4+V4</f>
        <v>1144799.7114686747</v>
      </c>
      <c r="AA4" s="59">
        <f ca="1">+N4+Q4+T4+W4</f>
        <v>528610.0893244464</v>
      </c>
    </row>
    <row r="5" spans="1:56" x14ac:dyDescent="0.25">
      <c r="A5" s="2" t="s">
        <v>431</v>
      </c>
      <c r="B5" s="2" t="s">
        <v>1377</v>
      </c>
      <c r="C5" s="210">
        <f ca="1">SUMIF('Asset Allocation'!$F$1:$I$270,Calc!A5,'Asset Allocation'!I:I)</f>
        <v>2342981.8600000003</v>
      </c>
      <c r="D5" s="7">
        <v>77</v>
      </c>
      <c r="E5" s="2" t="s">
        <v>431</v>
      </c>
      <c r="F5" s="43">
        <f ca="1">SUMIF(Wages!$O$2:$P$220,Calc!E5,Wages!$P$2:$P$220)</f>
        <v>2.5499999999999998</v>
      </c>
      <c r="G5" s="38">
        <f ca="1">SUMIF(Wages!$O$2:$AD$192,Calc!E5,Wages!$AD$2:$AD$192)</f>
        <v>1197334.4769721599</v>
      </c>
      <c r="I5">
        <v>2.02</v>
      </c>
      <c r="J5" s="29">
        <f t="shared" ref="J5:J13" ca="1" si="0">+G5/L5</f>
        <v>4.0758935082113288</v>
      </c>
      <c r="L5" s="29">
        <f ca="1">+F5*40*48*60</f>
        <v>293760</v>
      </c>
      <c r="M5" s="39">
        <f>+D5/$D$14*M$4</f>
        <v>69696.211355834894</v>
      </c>
      <c r="N5" s="39">
        <f t="shared" ref="N5:N13" si="1">+D5/$D$14*N$4</f>
        <v>4550.5827138314789</v>
      </c>
      <c r="P5" s="39">
        <f t="shared" ref="P5" ca="1" si="2">+C5/$C$14*$P$4</f>
        <v>113851.00862535257</v>
      </c>
      <c r="Q5" s="39">
        <f t="shared" ref="Q5" ca="1" si="3">+$Q$4*C5/$C$14</f>
        <v>133194.61852214759</v>
      </c>
      <c r="S5" s="39">
        <f ca="1">+L5/$L$14*$S$4</f>
        <v>192695.17202535953</v>
      </c>
      <c r="T5" s="39">
        <f t="shared" ref="T5" ca="1" si="4">+L5/$L$14*$T$4</f>
        <v>71351.063561847972</v>
      </c>
      <c r="W5" s="39">
        <f t="shared" ref="W5:W13" ca="1" si="5">+F5/$F$14*$W$4</f>
        <v>20940.221834793731</v>
      </c>
      <c r="Y5" s="39">
        <f t="shared" ref="Y5" ca="1" si="6">+G5</f>
        <v>1197334.4769721599</v>
      </c>
      <c r="Z5" s="39">
        <f ca="1">+M5+P5+S5+V5</f>
        <v>376242.39200654696</v>
      </c>
      <c r="AA5" s="39">
        <f ca="1">+N5+Q5+T5+W5</f>
        <v>230036.4866326208</v>
      </c>
      <c r="AC5" s="40">
        <f ca="1">+Y5/L5</f>
        <v>4.0758935082113288</v>
      </c>
      <c r="AD5" s="40">
        <f ca="1">+Z5/$L5</f>
        <v>1.2807815632031145</v>
      </c>
      <c r="AE5" s="40">
        <f ca="1">+AA5/$L5</f>
        <v>0.78307627530167756</v>
      </c>
      <c r="AF5" s="40">
        <f ca="1">SUM(AC5:AE5)</f>
        <v>6.1397513467161211</v>
      </c>
      <c r="AG5" s="40" t="s">
        <v>378</v>
      </c>
      <c r="AH5" s="211">
        <f t="shared" ref="AH5:AH13" ca="1" si="7">+(AF5-AJ5)/AJ5</f>
        <v>-4.0497277504798541E-5</v>
      </c>
      <c r="AI5" s="40"/>
      <c r="AJ5" s="40">
        <f>VLOOKUP(E5,Syspro!$A$2:$F$91,6,FALSE)</f>
        <v>6.1400000000000006</v>
      </c>
      <c r="AK5" s="40">
        <v>7.5200000000000005</v>
      </c>
      <c r="AL5" s="40">
        <v>7.0896488836964489</v>
      </c>
      <c r="AM5" s="40">
        <v>6.56</v>
      </c>
      <c r="AN5" s="40">
        <v>4.53</v>
      </c>
      <c r="AO5" s="40">
        <v>4.0199999999999996</v>
      </c>
      <c r="AP5" s="40">
        <v>4.0202097180876848</v>
      </c>
      <c r="AQ5" s="40">
        <v>3.93</v>
      </c>
      <c r="AR5" s="40">
        <v>3.75</v>
      </c>
      <c r="AS5" s="40">
        <v>3.75</v>
      </c>
      <c r="AT5" s="40">
        <v>3.96</v>
      </c>
      <c r="AU5" s="40">
        <v>3.88</v>
      </c>
      <c r="AV5" s="40">
        <v>4.45</v>
      </c>
      <c r="AW5" s="40">
        <v>4.0724898333317698</v>
      </c>
      <c r="AX5" s="40">
        <v>3.736269849130927</v>
      </c>
      <c r="AY5" s="40">
        <v>3.49</v>
      </c>
      <c r="AZ5">
        <v>3.03</v>
      </c>
      <c r="BB5" s="3">
        <f t="shared" ref="BB5:BB13" ca="1" si="8">(+AF5-AJ5)/AJ5</f>
        <v>-4.0497277504798541E-5</v>
      </c>
      <c r="BD5" s="40"/>
    </row>
    <row r="6" spans="1:56" x14ac:dyDescent="0.25">
      <c r="A6" s="2" t="s">
        <v>430</v>
      </c>
      <c r="B6" s="2" t="s">
        <v>1378</v>
      </c>
      <c r="C6" s="210">
        <f ca="1">SUMIF('Asset Allocation'!$F$1:$I$270,Calc!A6,'Asset Allocation'!I:I)</f>
        <v>207705.78</v>
      </c>
      <c r="D6" s="7">
        <v>22</v>
      </c>
      <c r="E6" s="2" t="s">
        <v>430</v>
      </c>
      <c r="F6" s="43">
        <f ca="1">SUMIF(Wages!$O$2:$P$220,Calc!E6,Wages!$P$2:$P$220)</f>
        <v>1.3</v>
      </c>
      <c r="G6" s="38">
        <f ca="1">SUMIF(Wages!$O$2:$AD$192,Calc!E6,Wages!$AD$2:$AD$192)</f>
        <v>469995.18523328</v>
      </c>
      <c r="I6">
        <v>2.02</v>
      </c>
      <c r="J6" s="29">
        <f t="shared" ca="1" si="0"/>
        <v>3.1383225509700856</v>
      </c>
      <c r="L6" s="29">
        <f t="shared" ref="L6:L13" ca="1" si="9">+F6*40*48*60</f>
        <v>149760</v>
      </c>
      <c r="M6" s="39">
        <f t="shared" ref="M6:M13" si="10">+D6/$D$14*M$4</f>
        <v>19913.203244524255</v>
      </c>
      <c r="N6" s="39">
        <f t="shared" si="1"/>
        <v>1300.1664896661366</v>
      </c>
      <c r="P6" s="39">
        <f t="shared" ref="P6:P13" ca="1" si="11">+C6/$C$14*$P$4</f>
        <v>10092.91320348318</v>
      </c>
      <c r="Q6" s="39">
        <f t="shared" ref="Q6:Q13" ca="1" si="12">+$Q$4*C6/$C$14</f>
        <v>11807.727837869434</v>
      </c>
      <c r="S6" s="39">
        <f t="shared" ref="S6:S13" ca="1" si="13">+L6/$L$14*$S$4</f>
        <v>98236.754365869565</v>
      </c>
      <c r="T6" s="39">
        <f t="shared" ref="T6:T13" ca="1" si="14">+L6/$L$14*$T$4</f>
        <v>36375.052011922497</v>
      </c>
      <c r="W6" s="39">
        <f t="shared" ca="1" si="5"/>
        <v>10675.407209894842</v>
      </c>
      <c r="Y6" s="39">
        <f t="shared" ref="Y6:Y13" ca="1" si="15">+G6</f>
        <v>469995.18523328</v>
      </c>
      <c r="Z6" s="39">
        <f t="shared" ref="Z6:Z13" ca="1" si="16">+M6+P6+S6+V6</f>
        <v>128242.870813877</v>
      </c>
      <c r="AA6" s="39">
        <f t="shared" ref="AA6:AA13" ca="1" si="17">+N6+Q6+T6+W6</f>
        <v>60158.353549352905</v>
      </c>
      <c r="AC6" s="40">
        <f t="shared" ref="AC6:AC13" ca="1" si="18">+Y6/L6</f>
        <v>3.1383225509700856</v>
      </c>
      <c r="AD6" s="40">
        <f t="shared" ref="AD6:AD13" ca="1" si="19">+Z6/$L6</f>
        <v>0.85632258823368723</v>
      </c>
      <c r="AE6" s="40">
        <f t="shared" ref="AE6:AE13" ca="1" si="20">+AA6/$L6</f>
        <v>0.4016984077814697</v>
      </c>
      <c r="AF6" s="40">
        <f t="shared" ref="AF6:AF13" ca="1" si="21">SUM(AC6:AE6)</f>
        <v>4.3963435469852428</v>
      </c>
      <c r="AG6" s="40" t="s">
        <v>378</v>
      </c>
      <c r="AH6" s="211">
        <f t="shared" ca="1" si="7"/>
        <v>-8.3101204880854261E-4</v>
      </c>
      <c r="AI6" s="40"/>
      <c r="AJ6" s="40">
        <f>VLOOKUP(E6,Syspro!$A$2:$F$91,6,FALSE)</f>
        <v>4.4000000000000004</v>
      </c>
      <c r="AK6" s="40">
        <v>4.42</v>
      </c>
      <c r="AL6" s="40">
        <v>3.9685486651782242</v>
      </c>
      <c r="AM6" s="40">
        <v>4.1500000000000004</v>
      </c>
      <c r="AN6" s="40">
        <v>4.37</v>
      </c>
      <c r="AO6" s="40">
        <v>4.07</v>
      </c>
      <c r="AP6" s="40">
        <v>4.071045864510201</v>
      </c>
      <c r="AQ6" s="40">
        <v>3.9</v>
      </c>
      <c r="AR6" s="40">
        <v>3.73</v>
      </c>
      <c r="AS6" s="40">
        <v>3.73</v>
      </c>
      <c r="AT6" s="40">
        <v>3.4699999999999998</v>
      </c>
      <c r="AU6" s="40">
        <v>3.44</v>
      </c>
      <c r="AV6" s="40">
        <v>4.59</v>
      </c>
      <c r="AW6" s="40">
        <v>4.0315629241006299</v>
      </c>
      <c r="AX6" s="40">
        <v>3.4428349303579737</v>
      </c>
      <c r="AY6" s="40">
        <v>3.49</v>
      </c>
      <c r="AZ6">
        <v>3.03</v>
      </c>
      <c r="BB6" s="3">
        <f t="shared" ca="1" si="8"/>
        <v>-8.3101204880854261E-4</v>
      </c>
      <c r="BD6" s="40"/>
    </row>
    <row r="7" spans="1:56" x14ac:dyDescent="0.25">
      <c r="A7" s="2" t="s">
        <v>436</v>
      </c>
      <c r="B7" s="2" t="s">
        <v>1379</v>
      </c>
      <c r="C7" s="210">
        <f ca="1">SUMIF('Asset Allocation'!$F$1:$I$270,Calc!A7,'Asset Allocation'!I:I)</f>
        <v>53256</v>
      </c>
      <c r="D7" s="7">
        <v>53</v>
      </c>
      <c r="E7" s="2" t="s">
        <v>436</v>
      </c>
      <c r="F7" s="43">
        <f ca="1">SUMIF(Wages!$O$2:$P$220,Calc!E7,Wages!$P$2:$P$220)</f>
        <v>0.25</v>
      </c>
      <c r="G7" s="38">
        <f ca="1">SUMIF(Wages!$O$2:$AD$192,Calc!E7,Wages!$AD$2:$AD$192)</f>
        <v>80042.532566399997</v>
      </c>
      <c r="I7">
        <v>2.02</v>
      </c>
      <c r="J7" s="29">
        <f t="shared" ca="1" si="0"/>
        <v>2.779254603</v>
      </c>
      <c r="L7" s="29">
        <f t="shared" ca="1" si="9"/>
        <v>28800</v>
      </c>
      <c r="M7" s="39">
        <f t="shared" si="10"/>
        <v>47972.716907262977</v>
      </c>
      <c r="N7" s="39">
        <f t="shared" si="1"/>
        <v>3132.2192705593293</v>
      </c>
      <c r="P7" s="39">
        <f t="shared" ca="1" si="11"/>
        <v>2587.8345107425525</v>
      </c>
      <c r="Q7" s="39">
        <f t="shared" ca="1" si="12"/>
        <v>3027.5149479883257</v>
      </c>
      <c r="S7" s="39">
        <f t="shared" ca="1" si="13"/>
        <v>18891.683531897994</v>
      </c>
      <c r="T7" s="39">
        <f t="shared" ca="1" si="14"/>
        <v>6995.2023099850958</v>
      </c>
      <c r="W7" s="39">
        <f t="shared" ca="1" si="5"/>
        <v>2052.9629249797772</v>
      </c>
      <c r="Y7" s="39">
        <f t="shared" ca="1" si="15"/>
        <v>80042.532566399997</v>
      </c>
      <c r="Z7" s="39">
        <f ca="1">+M7+P7+S7+V7</f>
        <v>69452.234949903534</v>
      </c>
      <c r="AA7" s="39">
        <f t="shared" ca="1" si="17"/>
        <v>15207.899453512528</v>
      </c>
      <c r="AC7" s="40">
        <f t="shared" ca="1" si="18"/>
        <v>2.779254603</v>
      </c>
      <c r="AD7" s="40">
        <f t="shared" ca="1" si="19"/>
        <v>2.4115359357605395</v>
      </c>
      <c r="AE7" s="40">
        <f t="shared" ca="1" si="20"/>
        <v>0.52805206435807384</v>
      </c>
      <c r="AF7" s="40">
        <f t="shared" ca="1" si="21"/>
        <v>5.7188426031186141</v>
      </c>
      <c r="AG7" s="40" t="s">
        <v>378</v>
      </c>
      <c r="AH7" s="211">
        <f t="shared" ca="1" si="7"/>
        <v>-2.0234211213035111E-4</v>
      </c>
      <c r="AI7" s="40"/>
      <c r="AJ7" s="40">
        <f>VLOOKUP(E7,Syspro!$A$2:$F$91,6,FALSE)</f>
        <v>5.72</v>
      </c>
      <c r="AK7" s="40">
        <v>5.71</v>
      </c>
      <c r="AL7" s="40">
        <v>5.3915323781751079</v>
      </c>
      <c r="AM7" s="40">
        <v>5.34</v>
      </c>
      <c r="AN7" s="40">
        <v>4.0600000000000005</v>
      </c>
      <c r="AO7" s="40">
        <v>2.9600000000000004</v>
      </c>
      <c r="AP7" s="40">
        <v>2.9592541170246691</v>
      </c>
      <c r="AQ7" s="40">
        <v>3.8200000000000003</v>
      </c>
      <c r="AR7" s="40">
        <v>3.63</v>
      </c>
      <c r="AS7" s="40">
        <v>3.63</v>
      </c>
      <c r="AT7" s="40">
        <v>4.76</v>
      </c>
      <c r="AU7" s="40">
        <v>4.03</v>
      </c>
      <c r="AV7" s="40">
        <v>4.1399999999999997</v>
      </c>
      <c r="AW7" s="40">
        <v>4.1095591394636344</v>
      </c>
      <c r="AX7" s="40">
        <v>3.778961807633757</v>
      </c>
      <c r="AY7" s="40">
        <v>3.49</v>
      </c>
      <c r="AZ7">
        <v>3.03</v>
      </c>
      <c r="BB7" s="3">
        <f t="shared" ca="1" si="8"/>
        <v>-2.0234211213035111E-4</v>
      </c>
      <c r="BD7" s="40"/>
    </row>
    <row r="8" spans="1:56" x14ac:dyDescent="0.25">
      <c r="A8" s="2" t="s">
        <v>460</v>
      </c>
      <c r="B8" s="2" t="s">
        <v>1380</v>
      </c>
      <c r="C8" s="210">
        <f ca="1">SUMIF('Asset Allocation'!$F$1:$I$270,Calc!A8,'Asset Allocation'!I:I)</f>
        <v>12700</v>
      </c>
      <c r="D8" s="7">
        <v>4</v>
      </c>
      <c r="E8" s="2" t="s">
        <v>460</v>
      </c>
      <c r="F8" s="43">
        <f ca="1">SUMIF(Wages!$O$2:$P$220,Calc!E8,Wages!$P$2:$P$220)</f>
        <v>0.25</v>
      </c>
      <c r="G8" s="38">
        <f ca="1">SUMIF(Wages!$O$2:$AD$192,Calc!E8,Wages!$AD$2:$AD$192)</f>
        <v>80042.532566399997</v>
      </c>
      <c r="I8">
        <v>2.02</v>
      </c>
      <c r="J8" s="29">
        <f t="shared" ca="1" si="0"/>
        <v>2.779254603</v>
      </c>
      <c r="L8" s="29">
        <f t="shared" ca="1" si="9"/>
        <v>28800</v>
      </c>
      <c r="M8" s="39">
        <f t="shared" si="10"/>
        <v>3620.5824080953189</v>
      </c>
      <c r="N8" s="39">
        <f t="shared" si="1"/>
        <v>236.39390721202489</v>
      </c>
      <c r="P8" s="39">
        <f t="shared" ca="1" si="11"/>
        <v>617.1229211061742</v>
      </c>
      <c r="Q8" s="39">
        <f t="shared" ca="1" si="12"/>
        <v>721.97385908539388</v>
      </c>
      <c r="S8" s="39">
        <f t="shared" ca="1" si="13"/>
        <v>18891.683531897994</v>
      </c>
      <c r="T8" s="39">
        <f t="shared" ca="1" si="14"/>
        <v>6995.2023099850958</v>
      </c>
      <c r="W8" s="39">
        <f t="shared" ca="1" si="5"/>
        <v>2052.9629249797772</v>
      </c>
      <c r="Y8" s="39">
        <f t="shared" ca="1" si="15"/>
        <v>80042.532566399997</v>
      </c>
      <c r="Z8" s="39">
        <f t="shared" ca="1" si="16"/>
        <v>23129.388861099487</v>
      </c>
      <c r="AA8" s="39">
        <f t="shared" ca="1" si="17"/>
        <v>10006.533001262291</v>
      </c>
      <c r="AC8" s="40">
        <f t="shared" ca="1" si="18"/>
        <v>2.779254603</v>
      </c>
      <c r="AD8" s="40">
        <f t="shared" ca="1" si="19"/>
        <v>0.80310377989928772</v>
      </c>
      <c r="AE8" s="40">
        <f t="shared" ca="1" si="20"/>
        <v>0.34744906254382957</v>
      </c>
      <c r="AF8" s="40">
        <f t="shared" ca="1" si="21"/>
        <v>3.9298074454431173</v>
      </c>
      <c r="AG8" s="40" t="s">
        <v>378</v>
      </c>
      <c r="AH8" s="211">
        <f t="shared" ca="1" si="7"/>
        <v>-4.8996070453646074E-5</v>
      </c>
      <c r="AI8" s="40"/>
      <c r="AJ8" s="40">
        <f>VLOOKUP(E8,Syspro!$A$2:$F$91,6,FALSE)</f>
        <v>3.93</v>
      </c>
      <c r="AK8" s="40">
        <v>3.9399999999999995</v>
      </c>
      <c r="AL8" s="40">
        <v>3.6902389913958893</v>
      </c>
      <c r="AM8" s="40">
        <v>3.63</v>
      </c>
      <c r="AN8" s="40">
        <v>4.09</v>
      </c>
      <c r="AO8" s="40">
        <v>3.89</v>
      </c>
      <c r="AP8" s="40">
        <v>3.8938812143416044</v>
      </c>
      <c r="AQ8" s="40">
        <v>3.8</v>
      </c>
      <c r="AR8" s="40">
        <v>3.58</v>
      </c>
      <c r="AS8" s="40">
        <v>3.58</v>
      </c>
      <c r="AT8" s="40">
        <v>3.63</v>
      </c>
      <c r="AU8" s="40">
        <v>3.55</v>
      </c>
      <c r="AV8" s="40">
        <v>5.12</v>
      </c>
      <c r="AW8" s="40">
        <v>4.7102178652538784</v>
      </c>
      <c r="AX8" s="40">
        <v>4.1179881061568642</v>
      </c>
      <c r="AY8" s="40">
        <v>3.49</v>
      </c>
      <c r="AZ8">
        <v>3.03</v>
      </c>
      <c r="BB8" s="3">
        <f t="shared" ca="1" si="8"/>
        <v>-4.8996070453646074E-5</v>
      </c>
      <c r="BD8" s="40"/>
    </row>
    <row r="9" spans="1:56" x14ac:dyDescent="0.25">
      <c r="A9" s="2" t="s">
        <v>609</v>
      </c>
      <c r="B9" s="2" t="s">
        <v>392</v>
      </c>
      <c r="C9" s="210">
        <f ca="1">SUMIF('Asset Allocation'!$F$1:$I$270,Calc!A9,'Asset Allocation'!I:I)</f>
        <v>262767.15000000002</v>
      </c>
      <c r="D9" s="7">
        <v>89</v>
      </c>
      <c r="E9" s="2" t="s">
        <v>609</v>
      </c>
      <c r="F9" s="43">
        <f ca="1">SUMIF(Wages!$O$2:$P$220,Calc!E9,Wages!$P$2:$P$220)</f>
        <v>1</v>
      </c>
      <c r="G9" s="38">
        <f ca="1">SUMIF(Wages!$O$2:$AD$192,Calc!E9,Wages!$AD$2:$AD$192)</f>
        <v>458354.61970303999</v>
      </c>
      <c r="I9">
        <v>2.02</v>
      </c>
      <c r="J9" s="29">
        <f t="shared" ca="1" si="0"/>
        <v>3.9787727404777775</v>
      </c>
      <c r="L9" s="29">
        <f t="shared" ca="1" si="9"/>
        <v>115200</v>
      </c>
      <c r="M9" s="39">
        <f t="shared" si="10"/>
        <v>80557.95858012086</v>
      </c>
      <c r="N9" s="39">
        <f t="shared" si="1"/>
        <v>5259.764435467554</v>
      </c>
      <c r="P9" s="39">
        <f t="shared" ca="1" si="11"/>
        <v>12768.474895964117</v>
      </c>
      <c r="Q9" s="39">
        <f t="shared" ca="1" si="12"/>
        <v>14937.875065068549</v>
      </c>
      <c r="S9" s="39">
        <f t="shared" ca="1" si="13"/>
        <v>75566.734127591975</v>
      </c>
      <c r="T9" s="39">
        <f t="shared" ca="1" si="14"/>
        <v>27980.809239940383</v>
      </c>
      <c r="W9" s="39">
        <f t="shared" ca="1" si="5"/>
        <v>8211.8516999191088</v>
      </c>
      <c r="Y9" s="39">
        <f t="shared" ca="1" si="15"/>
        <v>458354.61970303999</v>
      </c>
      <c r="Z9" s="39">
        <f t="shared" ca="1" si="16"/>
        <v>168893.16760367696</v>
      </c>
      <c r="AA9" s="39">
        <f t="shared" ca="1" si="17"/>
        <v>56390.3004403956</v>
      </c>
      <c r="AC9" s="40">
        <f t="shared" ca="1" si="18"/>
        <v>3.9787727404777775</v>
      </c>
      <c r="AD9" s="40">
        <f t="shared" ca="1" si="19"/>
        <v>1.4660865243374737</v>
      </c>
      <c r="AE9" s="40">
        <f t="shared" ca="1" si="20"/>
        <v>0.4894991357673229</v>
      </c>
      <c r="AF9" s="40">
        <f t="shared" ca="1" si="21"/>
        <v>5.9343584005825747</v>
      </c>
      <c r="AG9" s="40" t="s">
        <v>378</v>
      </c>
      <c r="AH9" s="211">
        <f t="shared" ca="1" si="7"/>
        <v>-9.4976421168782858E-4</v>
      </c>
      <c r="AI9" s="40"/>
      <c r="AJ9" s="40">
        <f>VLOOKUP(E9,Syspro!$A$2:$F$91,6,FALSE)</f>
        <v>5.94</v>
      </c>
      <c r="AK9" s="40">
        <v>5.96</v>
      </c>
      <c r="AL9" s="40">
        <v>5.6500617332160896</v>
      </c>
      <c r="AM9" s="40">
        <v>5.5</v>
      </c>
      <c r="AN9" s="40">
        <v>4.4399999999999995</v>
      </c>
      <c r="AO9" s="40">
        <v>4.24</v>
      </c>
      <c r="AP9" s="40">
        <v>4.2443450196485655</v>
      </c>
      <c r="AQ9" s="40">
        <v>3.9699999999999998</v>
      </c>
      <c r="AR9" s="40">
        <v>3.5300000000000002</v>
      </c>
      <c r="AS9" s="40">
        <v>3.5300000000000002</v>
      </c>
      <c r="AT9" s="40">
        <v>4</v>
      </c>
      <c r="AU9" s="40">
        <v>3.92</v>
      </c>
      <c r="AV9" s="40">
        <v>4.79</v>
      </c>
      <c r="AW9" s="40">
        <v>4.7974944874553067</v>
      </c>
      <c r="AX9" s="40">
        <v>4.546746294268913</v>
      </c>
      <c r="AY9" s="40">
        <v>3.49</v>
      </c>
      <c r="AZ9">
        <v>3.03</v>
      </c>
      <c r="BB9" s="3">
        <f t="shared" ca="1" si="8"/>
        <v>-9.4976421168782858E-4</v>
      </c>
      <c r="BD9" s="40"/>
    </row>
    <row r="10" spans="1:56" x14ac:dyDescent="0.25">
      <c r="A10" s="2" t="s">
        <v>432</v>
      </c>
      <c r="B10" s="2" t="s">
        <v>1381</v>
      </c>
      <c r="C10" s="210">
        <f ca="1">SUMIF('Asset Allocation'!$F$1:$I$270,Calc!A10,'Asset Allocation'!I:I)</f>
        <v>59200</v>
      </c>
      <c r="D10" s="7">
        <v>14</v>
      </c>
      <c r="E10" s="2" t="s">
        <v>432</v>
      </c>
      <c r="F10" s="43">
        <f ca="1">SUMIF(Wages!$O$2:$P$220,Calc!E10,Wages!$P$2:$P$220)</f>
        <v>1.35</v>
      </c>
      <c r="G10" s="38">
        <f ca="1">SUMIF(Wages!$O$2:$AD$192,Calc!E10,Wages!$AD$2:$AD$192)</f>
        <v>355699.45153103996</v>
      </c>
      <c r="I10">
        <v>2.02</v>
      </c>
      <c r="J10" s="29">
        <f t="shared" ca="1" si="0"/>
        <v>2.2871621111820986</v>
      </c>
      <c r="L10" s="29">
        <f t="shared" ca="1" si="9"/>
        <v>155520</v>
      </c>
      <c r="M10" s="39">
        <f t="shared" si="10"/>
        <v>12672.038428333617</v>
      </c>
      <c r="N10" s="39">
        <f t="shared" si="1"/>
        <v>827.37867524208707</v>
      </c>
      <c r="P10" s="39">
        <f t="shared" ca="1" si="11"/>
        <v>2876.6674747626394</v>
      </c>
      <c r="Q10" s="39">
        <f t="shared" ca="1" si="12"/>
        <v>3365.4214533744343</v>
      </c>
      <c r="S10" s="39">
        <f t="shared" ca="1" si="13"/>
        <v>102015.09107224917</v>
      </c>
      <c r="T10" s="39">
        <f t="shared" ca="1" si="14"/>
        <v>37774.092473919518</v>
      </c>
      <c r="W10" s="39">
        <f t="shared" ca="1" si="5"/>
        <v>11085.999794890799</v>
      </c>
      <c r="Y10" s="39">
        <f t="shared" ca="1" si="15"/>
        <v>355699.45153103996</v>
      </c>
      <c r="Z10" s="39">
        <f t="shared" ca="1" si="16"/>
        <v>117563.79697534542</v>
      </c>
      <c r="AA10" s="39">
        <f t="shared" ca="1" si="17"/>
        <v>53052.89239742684</v>
      </c>
      <c r="AC10" s="40">
        <f t="shared" ca="1" si="18"/>
        <v>2.2871621111820986</v>
      </c>
      <c r="AD10" s="40">
        <f t="shared" ca="1" si="19"/>
        <v>0.7559400525678075</v>
      </c>
      <c r="AE10" s="40">
        <f t="shared" ca="1" si="20"/>
        <v>0.34113228136205531</v>
      </c>
      <c r="AF10" s="40">
        <f t="shared" ca="1" si="21"/>
        <v>3.3842344451119617</v>
      </c>
      <c r="AG10" s="40" t="s">
        <v>378</v>
      </c>
      <c r="AH10" s="211">
        <f t="shared" ca="1" si="7"/>
        <v>-1.7007536542884905E-3</v>
      </c>
      <c r="AI10" s="40"/>
      <c r="AJ10" s="40">
        <f>VLOOKUP(E10,Syspro!$A$2:$F$91,6,FALSE)</f>
        <v>3.3899999999999997</v>
      </c>
      <c r="AK10" s="40">
        <v>3.5</v>
      </c>
      <c r="AL10" s="40">
        <v>3.1886977479156497</v>
      </c>
      <c r="AM10" s="40">
        <v>3.25</v>
      </c>
      <c r="AN10" s="40">
        <v>4.0999999999999996</v>
      </c>
      <c r="AO10" s="40">
        <v>3.76</v>
      </c>
      <c r="AP10" s="40">
        <v>3.754839490683882</v>
      </c>
      <c r="AQ10" s="40">
        <v>3.67</v>
      </c>
      <c r="AR10" s="40">
        <v>3.5</v>
      </c>
      <c r="AS10" s="40">
        <v>3.5</v>
      </c>
      <c r="AT10" s="40">
        <v>3.43</v>
      </c>
      <c r="AU10" s="40">
        <v>3.38</v>
      </c>
      <c r="AV10" s="40">
        <v>4.84</v>
      </c>
      <c r="AW10" s="40">
        <v>4.2076157775440102</v>
      </c>
      <c r="AX10" s="40">
        <v>3.5750545832153264</v>
      </c>
      <c r="AY10" s="40">
        <v>3.49</v>
      </c>
      <c r="AZ10">
        <v>3.03</v>
      </c>
      <c r="BB10" s="3">
        <f t="shared" ca="1" si="8"/>
        <v>-1.7007536542884905E-3</v>
      </c>
      <c r="BD10" s="40"/>
    </row>
    <row r="11" spans="1:56" x14ac:dyDescent="0.25">
      <c r="A11" s="2" t="s">
        <v>433</v>
      </c>
      <c r="B11" s="2" t="s">
        <v>391</v>
      </c>
      <c r="C11" s="210">
        <f ca="1">SUMIF('Asset Allocation'!$F$1:$I$270,Calc!A11,'Asset Allocation'!I:I)</f>
        <v>44000</v>
      </c>
      <c r="D11" s="7">
        <v>14</v>
      </c>
      <c r="E11" s="2" t="s">
        <v>433</v>
      </c>
      <c r="F11" s="43">
        <f ca="1">SUMIF(Wages!$O$2:$P$220,Calc!E11,Wages!$P$2:$P$220)</f>
        <v>0.1</v>
      </c>
      <c r="G11" s="38">
        <f ca="1">SUMIF(Wages!$O$2:$AD$192,Calc!E11,Wages!$AD$2:$AD$192)</f>
        <v>46939.848855040007</v>
      </c>
      <c r="I11">
        <v>2.02</v>
      </c>
      <c r="J11" s="29">
        <f t="shared" ca="1" si="0"/>
        <v>4.0746396575555561</v>
      </c>
      <c r="L11" s="29">
        <f t="shared" ca="1" si="9"/>
        <v>11520</v>
      </c>
      <c r="M11" s="39">
        <f t="shared" si="10"/>
        <v>12672.038428333617</v>
      </c>
      <c r="N11" s="39">
        <f t="shared" si="1"/>
        <v>827.37867524208707</v>
      </c>
      <c r="P11" s="39">
        <f t="shared" ca="1" si="11"/>
        <v>2138.0636636749346</v>
      </c>
      <c r="Q11" s="39">
        <f t="shared" ca="1" si="12"/>
        <v>2501.326755886404</v>
      </c>
      <c r="S11" s="39">
        <f t="shared" ca="1" si="13"/>
        <v>7556.6734127591981</v>
      </c>
      <c r="T11" s="39">
        <f t="shared" ca="1" si="14"/>
        <v>2798.0809239940386</v>
      </c>
      <c r="W11" s="39">
        <f t="shared" ca="1" si="5"/>
        <v>821.18516999191093</v>
      </c>
      <c r="Y11" s="39">
        <f t="shared" ca="1" si="15"/>
        <v>46939.848855040007</v>
      </c>
      <c r="Z11" s="39">
        <f t="shared" ca="1" si="16"/>
        <v>22366.775504767749</v>
      </c>
      <c r="AA11" s="39">
        <f t="shared" ca="1" si="17"/>
        <v>6947.9715251144398</v>
      </c>
      <c r="AC11" s="40">
        <f t="shared" ca="1" si="18"/>
        <v>4.0746396575555561</v>
      </c>
      <c r="AD11" s="40">
        <f t="shared" ca="1" si="19"/>
        <v>1.941560373677756</v>
      </c>
      <c r="AE11" s="40">
        <f t="shared" ca="1" si="20"/>
        <v>0.60312252822173962</v>
      </c>
      <c r="AF11" s="40">
        <f t="shared" ca="1" si="21"/>
        <v>6.6193225594550515</v>
      </c>
      <c r="AG11" s="40" t="s">
        <v>378</v>
      </c>
      <c r="AH11" s="211">
        <f t="shared" ca="1" si="7"/>
        <v>1.4103720809458572E-3</v>
      </c>
      <c r="AI11" s="40"/>
      <c r="AJ11" s="40">
        <f>VLOOKUP(E11,Syspro!$A$2:$F$91,6,FALSE)</f>
        <v>6.6099999999999994</v>
      </c>
      <c r="AK11" s="40">
        <v>6.64</v>
      </c>
      <c r="AL11" s="40">
        <v>6.3095377222887663</v>
      </c>
      <c r="AM11" s="40">
        <v>6.18</v>
      </c>
      <c r="AN11" s="40">
        <v>4.2</v>
      </c>
      <c r="AO11" s="40">
        <v>3.78</v>
      </c>
      <c r="AP11" s="40">
        <v>3.7810958898497242</v>
      </c>
      <c r="AQ11" s="40">
        <v>3.71</v>
      </c>
      <c r="AR11" s="40">
        <v>3.5100000000000002</v>
      </c>
      <c r="AS11" s="40">
        <v>3.5100000000000002</v>
      </c>
      <c r="AT11" s="40">
        <v>3.4400000000000004</v>
      </c>
      <c r="AU11" s="40">
        <v>3.4000000000000004</v>
      </c>
      <c r="AV11" s="40">
        <v>4.41</v>
      </c>
      <c r="AW11" s="40">
        <v>3.9064988190982484</v>
      </c>
      <c r="AX11" s="40">
        <v>3.3334162844815056</v>
      </c>
      <c r="AY11" s="40">
        <v>3.49</v>
      </c>
      <c r="AZ11">
        <v>3.03</v>
      </c>
      <c r="BB11" s="3">
        <f t="shared" ca="1" si="8"/>
        <v>1.4103720809458572E-3</v>
      </c>
      <c r="BD11" s="40"/>
    </row>
    <row r="12" spans="1:56" x14ac:dyDescent="0.25">
      <c r="A12" s="2" t="s">
        <v>825</v>
      </c>
      <c r="B12" s="2" t="s">
        <v>1383</v>
      </c>
      <c r="C12" s="210">
        <f ca="1">SUMIF('Asset Allocation'!$F$1:$I$270,Calc!A12,'Asset Allocation'!I:I)</f>
        <v>129490.78</v>
      </c>
      <c r="D12" s="7">
        <v>20</v>
      </c>
      <c r="E12" s="2" t="s">
        <v>825</v>
      </c>
      <c r="F12" s="43">
        <f ca="1">SUMIF(Wages!$O$2:$P$220,Calc!E12,Wages!$P$2:$P$220)</f>
        <v>1.25</v>
      </c>
      <c r="G12" s="38">
        <f ca="1">SUMIF(Wages!$O$2:$AD$192,Calc!E12,Wages!$AD$2:$AD$192)</f>
        <v>416130.55605695996</v>
      </c>
      <c r="I12">
        <v>2.02</v>
      </c>
      <c r="J12" s="29">
        <f ca="1">+G12/L12</f>
        <v>2.889795528173333</v>
      </c>
      <c r="L12" s="29">
        <f t="shared" ca="1" si="9"/>
        <v>144000</v>
      </c>
      <c r="M12" s="39">
        <f t="shared" si="10"/>
        <v>18102.912040476596</v>
      </c>
      <c r="N12" s="39">
        <f t="shared" si="1"/>
        <v>1181.9695360601243</v>
      </c>
      <c r="P12" s="39">
        <f t="shared" ca="1" si="11"/>
        <v>6292.2620795210205</v>
      </c>
      <c r="Q12" s="39">
        <f t="shared" ca="1" si="12"/>
        <v>7361.3352876045456</v>
      </c>
      <c r="S12" s="39">
        <f t="shared" ca="1" si="13"/>
        <v>94458.417659489991</v>
      </c>
      <c r="T12" s="39">
        <f t="shared" ca="1" si="14"/>
        <v>34976.011549925483</v>
      </c>
      <c r="W12" s="39">
        <f t="shared" ca="1" si="5"/>
        <v>10264.814624898887</v>
      </c>
      <c r="Y12" s="39">
        <f t="shared" ca="1" si="15"/>
        <v>416130.55605695996</v>
      </c>
      <c r="Z12" s="39">
        <f t="shared" ca="1" si="16"/>
        <v>118853.59177948761</v>
      </c>
      <c r="AA12" s="39">
        <f ca="1">+N12+Q12+T12+W12</f>
        <v>53784.130998489039</v>
      </c>
      <c r="AC12" s="40">
        <f t="shared" ca="1" si="18"/>
        <v>2.889795528173333</v>
      </c>
      <c r="AD12" s="40">
        <f t="shared" ca="1" si="19"/>
        <v>0.82537216513533063</v>
      </c>
      <c r="AE12" s="40">
        <f t="shared" ca="1" si="20"/>
        <v>0.37350090971172945</v>
      </c>
      <c r="AF12" s="40">
        <f t="shared" ca="1" si="21"/>
        <v>4.0886686030203929</v>
      </c>
      <c r="AG12" s="40" t="s">
        <v>378</v>
      </c>
      <c r="AH12" s="211">
        <f t="shared" ca="1" si="7"/>
        <v>-3.2552493388922636E-4</v>
      </c>
      <c r="AI12" s="40"/>
      <c r="AJ12" s="40">
        <f>VLOOKUP(E12,Syspro!$A$2:$F$91,6,FALSE)</f>
        <v>4.09</v>
      </c>
      <c r="AK12" s="40">
        <v>4.2</v>
      </c>
      <c r="AL12" s="40">
        <v>3.7800581468923276</v>
      </c>
      <c r="AM12" s="40">
        <v>4.05</v>
      </c>
      <c r="AN12" s="40">
        <v>4.43</v>
      </c>
      <c r="AO12" s="40">
        <v>4.07</v>
      </c>
      <c r="AP12" s="40">
        <v>4.0691208544451891</v>
      </c>
      <c r="AQ12" s="40">
        <v>3.9699999999999998</v>
      </c>
      <c r="AR12" s="40">
        <v>3.56</v>
      </c>
      <c r="AS12" s="40">
        <v>3.56</v>
      </c>
      <c r="AT12" s="40">
        <v>3.51</v>
      </c>
      <c r="AU12" s="40">
        <v>3.46</v>
      </c>
      <c r="AV12" s="40">
        <v>3.41</v>
      </c>
      <c r="AW12" s="40">
        <v>4.0426559226844123</v>
      </c>
      <c r="AX12" s="40">
        <v>3.5426328584624529</v>
      </c>
      <c r="AY12" s="40">
        <v>3.49</v>
      </c>
      <c r="AZ12">
        <v>3.03</v>
      </c>
      <c r="BB12" s="3">
        <f t="shared" ca="1" si="8"/>
        <v>-3.2552493388922636E-4</v>
      </c>
      <c r="BD12" s="40"/>
    </row>
    <row r="13" spans="1:56" x14ac:dyDescent="0.25">
      <c r="A13" s="2" t="s">
        <v>435</v>
      </c>
      <c r="B13" s="2" t="s">
        <v>1382</v>
      </c>
      <c r="C13" s="210">
        <f ca="1">SUMIF('Asset Allocation'!$F$1:$I$270,Calc!A13,'Asset Allocation'!I:I)</f>
        <v>14946</v>
      </c>
      <c r="D13" s="7">
        <v>40</v>
      </c>
      <c r="E13" s="2" t="s">
        <v>435</v>
      </c>
      <c r="F13" s="43">
        <f ca="1">SUMIF(Wages!$O$2:$P$220,Calc!E13,Wages!$P$2:$P$220)</f>
        <v>1.1000000000000001</v>
      </c>
      <c r="G13" s="38">
        <f ca="1">SUMIF(Wages!$O$2:$AD$192,Calc!E13,Wages!$AD$2:$AD$192)</f>
        <v>496542.05926015996</v>
      </c>
      <c r="I13">
        <v>2.02</v>
      </c>
      <c r="J13" s="29">
        <f t="shared" ca="1" si="0"/>
        <v>3.9184190282525249</v>
      </c>
      <c r="L13" s="29">
        <f t="shared" ca="1" si="9"/>
        <v>126720</v>
      </c>
      <c r="M13" s="39">
        <f t="shared" si="10"/>
        <v>36205.824080953193</v>
      </c>
      <c r="N13" s="39">
        <f t="shared" si="1"/>
        <v>2363.9390721202485</v>
      </c>
      <c r="P13" s="39">
        <f t="shared" ca="1" si="11"/>
        <v>726.26135266558117</v>
      </c>
      <c r="Q13" s="39">
        <f t="shared" ca="1" si="12"/>
        <v>849.65522030632246</v>
      </c>
      <c r="S13" s="39">
        <f t="shared" ca="1" si="13"/>
        <v>83123.407540351167</v>
      </c>
      <c r="T13" s="39">
        <f t="shared" ca="1" si="14"/>
        <v>30778.890163934422</v>
      </c>
      <c r="W13" s="39">
        <f t="shared" ca="1" si="5"/>
        <v>9033.0368699110204</v>
      </c>
      <c r="Y13" s="39">
        <f t="shared" ca="1" si="15"/>
        <v>496542.05926015996</v>
      </c>
      <c r="Z13" s="39">
        <f t="shared" ca="1" si="16"/>
        <v>120055.49297396994</v>
      </c>
      <c r="AA13" s="39">
        <f t="shared" ca="1" si="17"/>
        <v>43025.521326272014</v>
      </c>
      <c r="AC13" s="40">
        <f t="shared" ca="1" si="18"/>
        <v>3.9184190282525249</v>
      </c>
      <c r="AD13" s="40">
        <f t="shared" ca="1" si="19"/>
        <v>0.94740761500923254</v>
      </c>
      <c r="AE13" s="40">
        <f t="shared" ca="1" si="20"/>
        <v>0.33953220743585871</v>
      </c>
      <c r="AF13" s="40">
        <f t="shared" ca="1" si="21"/>
        <v>5.2053588506976158</v>
      </c>
      <c r="AG13" s="40" t="s">
        <v>378</v>
      </c>
      <c r="AH13" s="211">
        <f t="shared" ca="1" si="7"/>
        <v>-8.9081560506413225E-4</v>
      </c>
      <c r="AI13" s="40"/>
      <c r="AJ13" s="40">
        <f>VLOOKUP(E13,Syspro!$A$2:$F$91,6,FALSE)</f>
        <v>5.21</v>
      </c>
      <c r="AK13" s="40">
        <v>5.21</v>
      </c>
      <c r="AL13" s="40">
        <v>4.9506931566408623</v>
      </c>
      <c r="AM13" s="40">
        <v>4.84</v>
      </c>
      <c r="AN13" s="40">
        <v>4.3400000000000007</v>
      </c>
      <c r="AO13" s="40">
        <v>4.1500000000000004</v>
      </c>
      <c r="AP13" s="40">
        <v>4.1522813787711597</v>
      </c>
      <c r="AQ13" s="40">
        <v>4.04</v>
      </c>
      <c r="AR13" s="40">
        <v>3.52</v>
      </c>
      <c r="AS13" s="40">
        <v>3.52</v>
      </c>
      <c r="AT13" s="40">
        <v>3.8299999999999996</v>
      </c>
      <c r="AU13" s="40">
        <v>3.57</v>
      </c>
      <c r="AV13" s="40">
        <v>4.42</v>
      </c>
      <c r="AW13" s="40">
        <v>4.0331647951406859</v>
      </c>
      <c r="AX13" s="40">
        <v>3.6805127217152012</v>
      </c>
      <c r="AY13" s="40">
        <v>3.49</v>
      </c>
      <c r="AZ13">
        <v>3.03</v>
      </c>
      <c r="BB13" s="3">
        <f t="shared" ca="1" si="8"/>
        <v>-8.9081560506413225E-4</v>
      </c>
      <c r="BD13" s="40"/>
    </row>
    <row r="14" spans="1:56" x14ac:dyDescent="0.25">
      <c r="A14" s="2"/>
      <c r="B14" s="25" t="s">
        <v>455</v>
      </c>
      <c r="C14" s="138">
        <f ca="1">SUM(C5:C13)</f>
        <v>3127047.57</v>
      </c>
      <c r="D14" s="7">
        <f>SUM(D5:D13)</f>
        <v>333</v>
      </c>
      <c r="E14" s="2"/>
      <c r="F14" s="43">
        <f ca="1">SUM(F5:F13)</f>
        <v>9.1499999999999986</v>
      </c>
      <c r="G14" s="38"/>
      <c r="L14" s="29">
        <f ca="1">+SUM(L5:L13)</f>
        <v>1054080</v>
      </c>
      <c r="AB14" t="s">
        <v>378</v>
      </c>
      <c r="AX14" s="40"/>
    </row>
    <row r="15" spans="1:56" x14ac:dyDescent="0.25">
      <c r="A15" s="2"/>
      <c r="B15" s="25"/>
      <c r="C15" s="100"/>
      <c r="D15" s="7"/>
      <c r="E15" s="2"/>
      <c r="F15" s="43"/>
      <c r="G15" s="38"/>
      <c r="AX15" s="40"/>
    </row>
    <row r="16" spans="1:56" x14ac:dyDescent="0.25">
      <c r="A16" s="2"/>
      <c r="B16" s="2" t="s">
        <v>366</v>
      </c>
      <c r="C16" s="101"/>
      <c r="D16" s="7"/>
      <c r="E16" s="2"/>
      <c r="F16" s="43"/>
      <c r="G16" s="38"/>
      <c r="M16" s="59"/>
      <c r="N16" s="59"/>
      <c r="P16" s="59"/>
      <c r="Q16" s="59"/>
      <c r="S16" s="59"/>
      <c r="T16" s="59"/>
      <c r="W16" s="59"/>
      <c r="Y16" s="59"/>
      <c r="Z16" s="59"/>
      <c r="AA16" s="59"/>
      <c r="AX16" s="40"/>
    </row>
    <row r="17" spans="1:56" x14ac:dyDescent="0.25">
      <c r="A17" s="1" t="s">
        <v>449</v>
      </c>
      <c r="B17" s="1" t="s">
        <v>461</v>
      </c>
      <c r="C17" s="99">
        <f ca="1">SUMIF('Asset Allocation'!$F$1:$I$270,Calc!A17,'Asset Allocation'!I:I)</f>
        <v>0</v>
      </c>
      <c r="D17" s="7">
        <v>0</v>
      </c>
      <c r="E17" s="1" t="s">
        <v>449</v>
      </c>
      <c r="F17" s="43">
        <f ca="1">SUMIF(Wages!$O$2:$P$190,Calc!E17,Wages!$P$2:$P$190)</f>
        <v>0</v>
      </c>
      <c r="G17" s="38">
        <f ca="1">SUMIF(Wages!$O$2:$AD$192,Calc!E17,Wages!$AD$2:$AD$192)</f>
        <v>0</v>
      </c>
      <c r="M17" s="39"/>
      <c r="N17" s="39"/>
      <c r="S17" s="39"/>
      <c r="Y17" s="39"/>
      <c r="Z17" s="39"/>
      <c r="AA17" s="39"/>
      <c r="AC17" s="40"/>
      <c r="AD17" s="40"/>
      <c r="AE17" s="40"/>
      <c r="AF17" s="40"/>
      <c r="AG17" s="40"/>
      <c r="AH17" s="173"/>
      <c r="AI17" s="40"/>
      <c r="AJ17" s="40">
        <v>0</v>
      </c>
      <c r="AK17" s="40">
        <v>0</v>
      </c>
      <c r="AL17" s="40"/>
      <c r="AM17" s="40">
        <v>0</v>
      </c>
      <c r="AN17" s="40">
        <v>0</v>
      </c>
      <c r="AO17" s="40">
        <v>0</v>
      </c>
      <c r="AP17" s="40"/>
      <c r="AQ17" s="40">
        <v>0</v>
      </c>
      <c r="AR17" s="40">
        <v>0</v>
      </c>
      <c r="AS17" s="40">
        <v>0</v>
      </c>
      <c r="AT17" s="40">
        <v>0</v>
      </c>
      <c r="AU17" s="40">
        <v>0</v>
      </c>
      <c r="AV17" s="40">
        <v>4.38</v>
      </c>
      <c r="AW17" s="40">
        <v>3.9662936410671965</v>
      </c>
      <c r="AX17" s="40">
        <v>3.6341206307593432</v>
      </c>
      <c r="AY17" s="40">
        <v>3.49</v>
      </c>
      <c r="AZ17">
        <v>3.03</v>
      </c>
      <c r="BB17" s="3">
        <f t="shared" ref="BB17:BB22" si="22">(+AF17-AW17)/AW17</f>
        <v>-1</v>
      </c>
      <c r="BD17" s="40"/>
    </row>
    <row r="18" spans="1:56" x14ac:dyDescent="0.25">
      <c r="A18" s="2" t="s">
        <v>450</v>
      </c>
      <c r="B18" s="2" t="s">
        <v>462</v>
      </c>
      <c r="C18" s="99">
        <f ca="1">SUMIF('Asset Allocation'!$F$1:$I$270,Calc!A18,'Asset Allocation'!I:I)</f>
        <v>0</v>
      </c>
      <c r="D18" s="7">
        <v>0</v>
      </c>
      <c r="E18" s="2" t="s">
        <v>450</v>
      </c>
      <c r="F18" s="43">
        <f ca="1">SUMIF(Wages!$O$2:$P$190,Calc!E18,Wages!$P$2:$P$190)</f>
        <v>0</v>
      </c>
      <c r="G18" s="38">
        <f ca="1">SUMIF(Wages!$O$2:$AD$192,Calc!E18,Wages!$AD$2:$AD$192)</f>
        <v>0</v>
      </c>
      <c r="M18" s="39"/>
      <c r="N18" s="39"/>
      <c r="S18" s="39"/>
      <c r="Y18" s="39"/>
      <c r="Z18" s="39"/>
      <c r="AA18" s="39"/>
      <c r="AC18" s="40"/>
      <c r="AD18" s="40"/>
      <c r="AE18" s="40"/>
      <c r="AF18" s="40"/>
      <c r="AG18" s="40"/>
      <c r="AH18" s="173"/>
      <c r="AI18" s="40"/>
      <c r="AJ18" s="40">
        <v>0</v>
      </c>
      <c r="AK18" s="40">
        <v>0</v>
      </c>
      <c r="AL18" s="40"/>
      <c r="AM18" s="40">
        <v>0</v>
      </c>
      <c r="AN18" s="40">
        <v>0</v>
      </c>
      <c r="AO18" s="40">
        <v>0</v>
      </c>
      <c r="AP18" s="40"/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3.8800000000000003</v>
      </c>
      <c r="AW18" s="40">
        <v>4.2850295819185069</v>
      </c>
      <c r="AX18" s="40">
        <v>3.8044196860900317</v>
      </c>
      <c r="AY18" s="40">
        <v>3.49</v>
      </c>
      <c r="AZ18">
        <v>3.03</v>
      </c>
      <c r="BB18" s="3">
        <f t="shared" si="22"/>
        <v>-1</v>
      </c>
      <c r="BD18" s="40"/>
    </row>
    <row r="19" spans="1:56" x14ac:dyDescent="0.25">
      <c r="A19" s="1" t="s">
        <v>451</v>
      </c>
      <c r="B19" s="1" t="s">
        <v>463</v>
      </c>
      <c r="C19" s="99">
        <f ca="1">SUMIF('Asset Allocation'!$F$1:$I$270,Calc!A19,'Asset Allocation'!I:I)</f>
        <v>0</v>
      </c>
      <c r="D19" s="7">
        <v>0</v>
      </c>
      <c r="E19" s="1" t="s">
        <v>451</v>
      </c>
      <c r="F19" s="43">
        <f ca="1">SUMIF(Wages!$O$2:$P$190,Calc!E19,Wages!$P$2:$P$190)</f>
        <v>0</v>
      </c>
      <c r="G19" s="38">
        <f ca="1">SUMIF(Wages!$O$2:$AD$192,Calc!E19,Wages!$AD$2:$AD$192)</f>
        <v>0</v>
      </c>
      <c r="M19" s="39"/>
      <c r="N19" s="39"/>
      <c r="S19" s="39"/>
      <c r="Y19" s="39"/>
      <c r="Z19" s="39"/>
      <c r="AA19" s="39"/>
      <c r="AC19" s="40"/>
      <c r="AD19" s="40"/>
      <c r="AE19" s="40"/>
      <c r="AF19" s="40"/>
      <c r="AG19" s="40"/>
      <c r="AH19" s="173"/>
      <c r="AI19" s="40"/>
      <c r="AJ19" s="40">
        <v>0</v>
      </c>
      <c r="AK19" s="40">
        <v>0</v>
      </c>
      <c r="AL19" s="40"/>
      <c r="AM19" s="40">
        <v>0</v>
      </c>
      <c r="AN19" s="40">
        <v>0</v>
      </c>
      <c r="AO19" s="40">
        <v>0</v>
      </c>
      <c r="AP19" s="40"/>
      <c r="AQ19" s="40">
        <v>0</v>
      </c>
      <c r="AR19" s="40">
        <v>0</v>
      </c>
      <c r="AS19" s="40">
        <v>0</v>
      </c>
      <c r="AT19" s="40">
        <v>0</v>
      </c>
      <c r="AU19" s="40">
        <v>0</v>
      </c>
      <c r="AV19" s="40">
        <v>3.47</v>
      </c>
      <c r="AW19" s="40">
        <v>3.5357021418778669</v>
      </c>
      <c r="AX19" s="40">
        <v>3.1478332229100503</v>
      </c>
      <c r="AY19" s="40">
        <v>3.49</v>
      </c>
      <c r="AZ19">
        <v>3.03</v>
      </c>
      <c r="BB19" s="3">
        <f t="shared" si="22"/>
        <v>-1</v>
      </c>
      <c r="BD19" s="40"/>
    </row>
    <row r="20" spans="1:56" x14ac:dyDescent="0.25">
      <c r="A20" s="2" t="s">
        <v>452</v>
      </c>
      <c r="B20" s="2" t="s">
        <v>464</v>
      </c>
      <c r="C20" s="99">
        <f ca="1">SUMIF('Asset Allocation'!$F$1:$I$270,Calc!A20,'Asset Allocation'!I:I)</f>
        <v>0</v>
      </c>
      <c r="D20" s="7">
        <v>0</v>
      </c>
      <c r="E20" s="2" t="s">
        <v>452</v>
      </c>
      <c r="F20" s="43">
        <f ca="1">SUMIF(Wages!$O$2:$P$190,Calc!E20,Wages!$P$2:$P$190)</f>
        <v>0</v>
      </c>
      <c r="G20" s="38">
        <f ca="1">SUMIF(Wages!$O$2:$AD$192,Calc!E20,Wages!$AD$2:$AD$192)</f>
        <v>0</v>
      </c>
      <c r="M20" s="39"/>
      <c r="N20" s="39"/>
      <c r="S20" s="39"/>
      <c r="Y20" s="39"/>
      <c r="Z20" s="39"/>
      <c r="AA20" s="39"/>
      <c r="AC20" s="40"/>
      <c r="AD20" s="40"/>
      <c r="AE20" s="40"/>
      <c r="AF20" s="40"/>
      <c r="AG20" s="40"/>
      <c r="AH20" s="173"/>
      <c r="AI20" s="40"/>
      <c r="AJ20" s="40">
        <v>0</v>
      </c>
      <c r="AK20" s="40">
        <v>0</v>
      </c>
      <c r="AL20" s="40"/>
      <c r="AM20" s="40">
        <v>0</v>
      </c>
      <c r="AN20" s="40">
        <v>0</v>
      </c>
      <c r="AO20" s="40">
        <v>0</v>
      </c>
      <c r="AP20" s="40"/>
      <c r="AQ20" s="40">
        <v>0</v>
      </c>
      <c r="AR20" s="40">
        <v>0</v>
      </c>
      <c r="AS20" s="40">
        <v>0</v>
      </c>
      <c r="AT20" s="40">
        <v>0</v>
      </c>
      <c r="AU20" s="40">
        <v>0</v>
      </c>
      <c r="AV20" s="40">
        <v>3.7600000000000002</v>
      </c>
      <c r="AW20" s="40">
        <v>4.2782883651601722</v>
      </c>
      <c r="AX20" s="40">
        <v>3.7822454128140301</v>
      </c>
      <c r="AY20" s="40">
        <v>3.49</v>
      </c>
      <c r="AZ20">
        <v>3.03</v>
      </c>
      <c r="BB20" s="3">
        <f t="shared" si="22"/>
        <v>-1</v>
      </c>
      <c r="BD20" s="40"/>
    </row>
    <row r="21" spans="1:56" x14ac:dyDescent="0.25">
      <c r="A21" s="1" t="s">
        <v>465</v>
      </c>
      <c r="B21" s="1" t="s">
        <v>466</v>
      </c>
      <c r="C21" s="99">
        <f ca="1">SUMIF('Asset Allocation'!$F$1:$I$270,Calc!A21,'Asset Allocation'!I:I)</f>
        <v>0</v>
      </c>
      <c r="D21" s="7">
        <v>0</v>
      </c>
      <c r="E21" s="1" t="s">
        <v>465</v>
      </c>
      <c r="F21" s="43">
        <f ca="1">SUMIF(Wages!$O$2:$P$190,Calc!E21,Wages!$P$2:$P$190)</f>
        <v>0</v>
      </c>
      <c r="G21" s="38">
        <f ca="1">SUMIF(Wages!$O$2:$AD$192,Calc!E21,Wages!$AD$2:$AD$192)</f>
        <v>0</v>
      </c>
      <c r="M21" s="39"/>
      <c r="N21" s="39"/>
      <c r="S21" s="39"/>
      <c r="Y21" s="39"/>
      <c r="Z21" s="39"/>
      <c r="AA21" s="39"/>
      <c r="AC21" s="40"/>
      <c r="AD21" s="40"/>
      <c r="AE21" s="40"/>
      <c r="AF21" s="40"/>
      <c r="AG21" s="40"/>
      <c r="AH21" s="173"/>
      <c r="AI21" s="40"/>
      <c r="AJ21" s="40">
        <v>0</v>
      </c>
      <c r="AK21" s="40">
        <v>0</v>
      </c>
      <c r="AL21" s="40"/>
      <c r="AM21" s="40">
        <v>0</v>
      </c>
      <c r="AN21" s="40">
        <v>0</v>
      </c>
      <c r="AO21" s="40">
        <v>0</v>
      </c>
      <c r="AP21" s="40"/>
      <c r="AQ21" s="40">
        <v>0</v>
      </c>
      <c r="AR21" s="40">
        <v>0</v>
      </c>
      <c r="AS21" s="40">
        <v>0</v>
      </c>
      <c r="AT21" s="40">
        <v>0</v>
      </c>
      <c r="AU21" s="40">
        <v>0</v>
      </c>
      <c r="AV21" s="40">
        <v>4.13</v>
      </c>
      <c r="AW21" s="40">
        <v>4.0239837446231927</v>
      </c>
      <c r="AX21" s="40">
        <v>3.7565264514604682</v>
      </c>
      <c r="AY21" s="40">
        <v>3.49</v>
      </c>
      <c r="AZ21">
        <v>3.03</v>
      </c>
      <c r="BB21" s="3">
        <f t="shared" si="22"/>
        <v>-1</v>
      </c>
      <c r="BD21" s="40"/>
    </row>
    <row r="22" spans="1:56" x14ac:dyDescent="0.25">
      <c r="A22" s="1" t="s">
        <v>434</v>
      </c>
      <c r="B22" s="1" t="s">
        <v>392</v>
      </c>
      <c r="C22" s="99">
        <f ca="1">SUMIF('Asset Allocation'!$F$1:$I$270,Calc!A22,'Asset Allocation'!I:I)</f>
        <v>0</v>
      </c>
      <c r="D22" s="7">
        <v>0</v>
      </c>
      <c r="E22" s="1" t="s">
        <v>434</v>
      </c>
      <c r="F22" s="43">
        <f ca="1">SUMIF(Wages!$O$2:$P$190,Calc!E22,Wages!$P$2:$P$190)</f>
        <v>0</v>
      </c>
      <c r="G22" s="38">
        <f ca="1">SUMIF(Wages!$O$2:$AD$192,Calc!E22,Wages!$AD$2:$AD$192)</f>
        <v>0</v>
      </c>
      <c r="M22" s="39"/>
      <c r="N22" s="39"/>
      <c r="S22" s="39"/>
      <c r="Y22" s="39"/>
      <c r="Z22" s="39"/>
      <c r="AA22" s="39"/>
      <c r="AC22" s="40"/>
      <c r="AD22" s="40"/>
      <c r="AE22" s="40"/>
      <c r="AF22" s="40"/>
      <c r="AG22" s="40"/>
      <c r="AH22" s="173"/>
      <c r="AI22" s="40"/>
      <c r="AJ22" s="40">
        <v>0</v>
      </c>
      <c r="AK22" s="40">
        <v>0</v>
      </c>
      <c r="AL22" s="40"/>
      <c r="AM22" s="40">
        <v>0</v>
      </c>
      <c r="AN22" s="40">
        <v>0</v>
      </c>
      <c r="AO22" s="40">
        <v>0</v>
      </c>
      <c r="AP22" s="40"/>
      <c r="AQ22" s="40">
        <v>0</v>
      </c>
      <c r="AR22" s="40">
        <v>0</v>
      </c>
      <c r="AS22" s="40">
        <v>0</v>
      </c>
      <c r="AT22" s="40">
        <v>0</v>
      </c>
      <c r="AU22" s="40">
        <v>0</v>
      </c>
      <c r="AV22" s="40">
        <v>5.7299999999999995</v>
      </c>
      <c r="AW22" s="40">
        <v>5.4924862310137357</v>
      </c>
      <c r="AX22" s="40">
        <v>5.1733210972148953</v>
      </c>
      <c r="AY22" s="40">
        <v>3.49</v>
      </c>
      <c r="AZ22">
        <v>3.03</v>
      </c>
      <c r="BB22" s="3">
        <f t="shared" si="22"/>
        <v>-1</v>
      </c>
      <c r="BD22" s="40"/>
    </row>
    <row r="23" spans="1:56" x14ac:dyDescent="0.25">
      <c r="A23" s="7"/>
      <c r="B23" s="25" t="s">
        <v>608</v>
      </c>
      <c r="C23" s="138">
        <f ca="1">SUM(C16:C22)</f>
        <v>0</v>
      </c>
      <c r="D23" s="7">
        <v>0</v>
      </c>
      <c r="E23" s="7"/>
      <c r="F23" s="43">
        <f ca="1">SUM(F17:F22)</f>
        <v>0</v>
      </c>
      <c r="G23" s="38"/>
      <c r="Z23" s="39"/>
      <c r="AA23" s="39"/>
      <c r="AC23" s="40"/>
      <c r="AD23" s="40"/>
      <c r="AE23" s="40"/>
      <c r="AF23" s="40"/>
      <c r="AG23" s="40"/>
      <c r="AH23" s="173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</row>
    <row r="24" spans="1:56" ht="23.25" x14ac:dyDescent="0.35">
      <c r="A24" s="21" t="s">
        <v>467</v>
      </c>
      <c r="B24" s="7"/>
      <c r="C24" s="38"/>
      <c r="D24" s="7"/>
      <c r="E24" s="21" t="s">
        <v>467</v>
      </c>
      <c r="F24" s="43"/>
      <c r="G24" s="38"/>
      <c r="M24" s="59">
        <f>HLOOKUP($B$26,Overhead!$G:$G,M$1,FALSE)</f>
        <v>108125.47891604663</v>
      </c>
      <c r="N24" s="59">
        <f>HLOOKUP($B$26,Overhead!$G:$G,N$1,FALSE)</f>
        <v>7059.7351860962572</v>
      </c>
      <c r="P24" s="59">
        <f>HLOOKUP($B$26,Overhead!$G:$G,P$1,FALSE)</f>
        <v>314754.83236363635</v>
      </c>
      <c r="Q24" s="59">
        <f>HLOOKUP($B$26,Overhead!$G:$G,Q$1,FALSE)</f>
        <v>245430.23813590934</v>
      </c>
      <c r="S24" s="59">
        <f>HLOOKUP($B$26,Overhead!$G:$G,S$1,FALSE)</f>
        <v>518364.25170042663</v>
      </c>
      <c r="T24" s="59">
        <f>HLOOKUP($B$26,Overhead!$G:$G,T$1,FALSE)</f>
        <v>188524.09636363637</v>
      </c>
      <c r="W24" s="59">
        <f ca="1">HLOOKUP($B$26,Overhead!$G:$G,W$1,FALSE)</f>
        <v>8211.8516999191124</v>
      </c>
      <c r="Y24" s="59">
        <f ca="1">+Y25</f>
        <v>412182.08306261338</v>
      </c>
      <c r="Z24" s="59">
        <f t="shared" ref="Z24:AA24" si="23">+Z25</f>
        <v>941244.56298010959</v>
      </c>
      <c r="AA24" s="59">
        <f t="shared" ca="1" si="23"/>
        <v>449225.92138556106</v>
      </c>
      <c r="AX24" s="40"/>
    </row>
    <row r="25" spans="1:56" x14ac:dyDescent="0.25">
      <c r="A25" s="27" t="s">
        <v>416</v>
      </c>
      <c r="B25" s="1" t="s">
        <v>467</v>
      </c>
      <c r="C25" s="99">
        <f ca="1">SUMIF('Asset Allocation'!$F$1:$I$270,Calc!A25,'Asset Allocation'!I:I)</f>
        <v>4317281</v>
      </c>
      <c r="D25" s="7">
        <v>111</v>
      </c>
      <c r="E25" s="27" t="s">
        <v>416</v>
      </c>
      <c r="F25" s="43">
        <v>1</v>
      </c>
      <c r="G25" s="38">
        <f ca="1">SUMIF(Wages!$O$2:$AD$192,Calc!E25,Wages!$AD$2:$AD$192)</f>
        <v>412182.08306261338</v>
      </c>
      <c r="I25">
        <v>4.07</v>
      </c>
      <c r="J25" s="29">
        <f ca="1">+G25/L25</f>
        <v>3.5779694710296299</v>
      </c>
      <c r="L25" s="29">
        <f>40*48*60</f>
        <v>115200</v>
      </c>
      <c r="M25" s="39">
        <f>+$D$25/$D$26*M$24</f>
        <v>108125.47891604663</v>
      </c>
      <c r="N25" s="39">
        <f>+$D$25/$D$26*N$24</f>
        <v>7059.7351860962572</v>
      </c>
      <c r="P25" s="39">
        <f t="shared" ref="P25:Q25" si="24">+$D$25/$D$26*P$24</f>
        <v>314754.83236363635</v>
      </c>
      <c r="Q25" s="39">
        <f t="shared" si="24"/>
        <v>245430.23813590934</v>
      </c>
      <c r="S25" s="39">
        <f>+$L$25/$L$26*$S$24</f>
        <v>518364.25170042663</v>
      </c>
      <c r="T25" s="39">
        <f>+$L$25/$L$26*$T$24</f>
        <v>188524.09636363637</v>
      </c>
      <c r="W25" s="39">
        <f ca="1">+$F$25/$F$26*W$24</f>
        <v>8211.8516999191124</v>
      </c>
      <c r="Y25" s="39">
        <f ca="1">+G25</f>
        <v>412182.08306261338</v>
      </c>
      <c r="Z25" s="39">
        <f>+M25+P25+S25+V25</f>
        <v>941244.56298010959</v>
      </c>
      <c r="AA25" s="39">
        <f ca="1">+N25+Q25+T25+W25</f>
        <v>449225.92138556106</v>
      </c>
      <c r="AB25" t="s">
        <v>378</v>
      </c>
      <c r="AC25" s="40">
        <f ca="1">+Y25/L25</f>
        <v>3.5779694710296299</v>
      </c>
      <c r="AD25" s="40">
        <f>+Z25/$L25</f>
        <v>8.1705257203134511</v>
      </c>
      <c r="AE25" s="40">
        <f ca="1">+AA25/$L25</f>
        <v>3.8995305675829952</v>
      </c>
      <c r="AF25" s="40">
        <f ca="1">SUM(AC25:AE25)</f>
        <v>15.648025758926078</v>
      </c>
      <c r="AG25" s="40"/>
      <c r="AH25" s="192">
        <f ca="1">+(AF25-AJ25)/AJ25</f>
        <v>-1.2614958938800641E-4</v>
      </c>
      <c r="AI25" s="40"/>
      <c r="AJ25" s="40">
        <f>VLOOKUP(E25,Syspro!$A$2:$F$91,6,FALSE)</f>
        <v>15.65</v>
      </c>
      <c r="AK25" s="40">
        <v>15.849999999999998</v>
      </c>
      <c r="AL25" s="40">
        <v>14.459058031296262</v>
      </c>
      <c r="AM25" s="40">
        <v>14.39</v>
      </c>
      <c r="AN25" s="40">
        <v>12.77</v>
      </c>
      <c r="AO25" s="40">
        <v>12.610000000000001</v>
      </c>
      <c r="AP25" s="40">
        <v>12.608115263193243</v>
      </c>
      <c r="AQ25" s="40">
        <v>11.799999999999999</v>
      </c>
      <c r="AR25" s="40">
        <v>13.33</v>
      </c>
      <c r="AS25" s="40">
        <v>13.33</v>
      </c>
      <c r="AT25" s="40">
        <v>14.610000000000001</v>
      </c>
      <c r="AU25" s="40">
        <v>14.22</v>
      </c>
      <c r="AV25" s="40">
        <v>16.830000000000002</v>
      </c>
      <c r="AW25" s="40">
        <v>15.850981165319936</v>
      </c>
      <c r="AX25" s="40">
        <v>16.596262840666242</v>
      </c>
      <c r="AY25" s="40">
        <v>19.5</v>
      </c>
      <c r="AZ25">
        <v>14.56</v>
      </c>
      <c r="BB25" s="3">
        <f ca="1">(+AF25-AJ25)/AJ25</f>
        <v>-1.2614958938800641E-4</v>
      </c>
      <c r="BD25" s="40"/>
    </row>
    <row r="26" spans="1:56" x14ac:dyDescent="0.25">
      <c r="A26" s="1"/>
      <c r="B26" s="25" t="s">
        <v>467</v>
      </c>
      <c r="C26" s="100">
        <f ca="1">+C25</f>
        <v>4317281</v>
      </c>
      <c r="D26" s="7">
        <f>SUM(D25)</f>
        <v>111</v>
      </c>
      <c r="E26" s="1"/>
      <c r="F26" s="7">
        <f>SUM(F25)</f>
        <v>1</v>
      </c>
      <c r="G26" s="38"/>
      <c r="L26" s="29">
        <f>SUM(L25)</f>
        <v>115200</v>
      </c>
      <c r="AX26" s="40"/>
    </row>
    <row r="27" spans="1:56" ht="23.25" x14ac:dyDescent="0.35">
      <c r="A27" s="21" t="s">
        <v>468</v>
      </c>
      <c r="B27" s="7" t="s">
        <v>367</v>
      </c>
      <c r="C27" s="38"/>
      <c r="D27" s="7"/>
      <c r="E27" s="21" t="s">
        <v>468</v>
      </c>
      <c r="F27" s="43"/>
      <c r="G27" s="38"/>
      <c r="M27" s="59">
        <f>HLOOKUP($B$34,Overhead!$H:$H,M$1,FALSE)</f>
        <v>551155.8305809102</v>
      </c>
      <c r="N27" s="59">
        <f>HLOOKUP($B$34,Overhead!$H:$H,N$1,FALSE)</f>
        <v>35985.906789304812</v>
      </c>
      <c r="P27" s="59">
        <f>HLOOKUP($B$34,Overhead!$H:$H,P$1,FALSE)</f>
        <v>10853.614909090909</v>
      </c>
      <c r="Q27" s="59">
        <f>HLOOKUP($B$34,Overhead!$H:$H,Q$1,FALSE)</f>
        <v>13184.230690967868</v>
      </c>
      <c r="S27" s="59">
        <f>HLOOKUP($B$34,Overhead!$H:$H,S$1,FALSE)</f>
        <v>836877.30619887984</v>
      </c>
      <c r="T27" s="59">
        <f>HLOOKUP($B$34,Overhead!$H:$H,T$1,FALSE)</f>
        <v>51127.21134545454</v>
      </c>
      <c r="W27" s="59">
        <f ca="1">HLOOKUP($B$34,Overhead!$H:$H,W$1,FALSE)</f>
        <v>102237.55366399295</v>
      </c>
      <c r="Y27" s="59">
        <f ca="1">SUM(Y28:Y33)</f>
        <v>4871983.4324056534</v>
      </c>
      <c r="Z27" s="59">
        <f t="shared" ref="Z27:AA33" si="25">+M27+P27+S27+V27</f>
        <v>1398886.7516888808</v>
      </c>
      <c r="AA27" s="59">
        <f t="shared" ca="1" si="25"/>
        <v>202534.90248972015</v>
      </c>
      <c r="AX27" s="40"/>
    </row>
    <row r="28" spans="1:56" x14ac:dyDescent="0.25">
      <c r="A28" s="1" t="s">
        <v>410</v>
      </c>
      <c r="B28" s="1" t="s">
        <v>380</v>
      </c>
      <c r="C28" s="99">
        <f ca="1">SUMIF('Asset Allocation'!$F$1:$I$270,Calc!A28,'Asset Allocation'!I:I)</f>
        <v>0</v>
      </c>
      <c r="D28" s="7">
        <v>20</v>
      </c>
      <c r="E28" s="195" t="s">
        <v>410</v>
      </c>
      <c r="F28" s="43">
        <f ca="1">SUMIF(Wages!$O$2:$P$220,Calc!E28,Wages!$P$2:$P$220)</f>
        <v>2</v>
      </c>
      <c r="G28" s="38">
        <f ca="1">SUMIF(Wages!$O$2:$AD$192,Calc!E28,Wages!$AD$2:$AD$192)</f>
        <v>809046.09038079996</v>
      </c>
      <c r="I28">
        <v>1.86</v>
      </c>
      <c r="J28" s="29">
        <f t="shared" ref="J28:J33" ca="1" si="26">+G28/L28</f>
        <v>3.5114847672777776</v>
      </c>
      <c r="L28" s="29">
        <f t="shared" ref="L28:L33" ca="1" si="27">+F28*40*48*60</f>
        <v>230400</v>
      </c>
      <c r="M28" s="39">
        <f t="shared" ref="M28:M33" si="28">+D28/$D$34*M$27</f>
        <v>29394.977630981881</v>
      </c>
      <c r="N28" s="39">
        <f t="shared" ref="N28:N33" si="29">+D28/$D$34*N$27</f>
        <v>1919.2483620962569</v>
      </c>
      <c r="P28" s="39">
        <f ca="1">+P$27*$C28/$C$34</f>
        <v>0</v>
      </c>
      <c r="Q28" s="39">
        <f ca="1">+Q$27*$C28/$C$34</f>
        <v>0</v>
      </c>
      <c r="S28" s="39">
        <f t="shared" ref="S28:S33" ca="1" si="30">+L28/$L$34*$S$27</f>
        <v>134438.12147773171</v>
      </c>
      <c r="T28" s="39">
        <f t="shared" ref="T28:T33" ca="1" si="31">+L28/$L$34*$T$27</f>
        <v>8213.2066418400864</v>
      </c>
      <c r="W28" s="39">
        <f t="shared" ref="W28:W33" ca="1" si="32">+F28/$F$34*$W$27</f>
        <v>16423.703399838225</v>
      </c>
      <c r="Y28" s="39">
        <f t="shared" ref="Y28:Y33" ca="1" si="33">+G28</f>
        <v>809046.09038079996</v>
      </c>
      <c r="Z28" s="39">
        <f t="shared" ca="1" si="25"/>
        <v>163833.09910871359</v>
      </c>
      <c r="AA28" s="39">
        <f t="shared" ca="1" si="25"/>
        <v>26556.158403774571</v>
      </c>
      <c r="AC28" s="40">
        <f t="shared" ref="AC28:AC33" ca="1" si="34">+Y28/L28</f>
        <v>3.5114847672777776</v>
      </c>
      <c r="AD28" s="40">
        <f t="shared" ref="AD28:AE33" ca="1" si="35">+Z28/$L28</f>
        <v>0.7110811593260139</v>
      </c>
      <c r="AE28" s="40">
        <f t="shared" ca="1" si="35"/>
        <v>0.11526110418304936</v>
      </c>
      <c r="AF28" s="40">
        <f t="shared" ref="AF28:AF33" ca="1" si="36">SUM(AC28:AE28)</f>
        <v>4.3378270307868405</v>
      </c>
      <c r="AG28" s="40" t="s">
        <v>378</v>
      </c>
      <c r="AH28" s="192">
        <f ca="1">+(ROUND(AF28,2)-AJ28)/AJ28</f>
        <v>0</v>
      </c>
      <c r="AI28" s="40"/>
      <c r="AJ28" s="40">
        <f>VLOOKUP(E28,Syspro!$A$2:$F$91,6,FALSE)</f>
        <v>4.34</v>
      </c>
      <c r="AK28" s="40">
        <v>4.32</v>
      </c>
      <c r="AL28" s="40">
        <v>4.2523529411764702</v>
      </c>
      <c r="AM28" s="40">
        <v>3.9499999999999997</v>
      </c>
      <c r="AN28" s="40">
        <v>3.59</v>
      </c>
      <c r="AO28" s="40">
        <v>3.53</v>
      </c>
      <c r="AP28" s="40">
        <v>3.5422252492211075</v>
      </c>
      <c r="AQ28" s="40">
        <v>3.27</v>
      </c>
      <c r="AR28" s="40">
        <v>3.08</v>
      </c>
      <c r="AS28" s="40">
        <v>3.08</v>
      </c>
      <c r="AT28" s="40">
        <v>3.0900000000000003</v>
      </c>
      <c r="AU28" s="40">
        <v>3.02</v>
      </c>
      <c r="AV28" s="40">
        <v>3.18</v>
      </c>
      <c r="AW28" s="40">
        <v>2.9909304189930848</v>
      </c>
      <c r="AX28" s="40">
        <v>2.8682207149286745</v>
      </c>
      <c r="AY28">
        <v>3.39</v>
      </c>
      <c r="AZ28" s="40">
        <v>2.6311290269403829</v>
      </c>
      <c r="BB28" s="3">
        <f t="shared" ref="BB28:BB33" ca="1" si="37">(+AF28-AJ28)/AJ28</f>
        <v>-5.0068415049754568E-4</v>
      </c>
      <c r="BD28" s="40"/>
    </row>
    <row r="29" spans="1:56" x14ac:dyDescent="0.25">
      <c r="A29" s="2" t="s">
        <v>426</v>
      </c>
      <c r="B29" s="2" t="s">
        <v>383</v>
      </c>
      <c r="C29" s="99">
        <f ca="1">SUMIF('Asset Allocation'!$F$1:$I$270,Calc!A29,'Asset Allocation'!I:I)</f>
        <v>0</v>
      </c>
      <c r="D29" s="7">
        <v>64</v>
      </c>
      <c r="E29" s="25" t="s">
        <v>426</v>
      </c>
      <c r="F29" s="43">
        <f ca="1">SUMIF(Wages!$O$2:$P$220,Calc!E29,Wages!$P$2:$P$220)</f>
        <v>2</v>
      </c>
      <c r="G29" s="38">
        <f ca="1">SUMIF(Wages!$O$2:$AD$192,Calc!E29,Wages!$AD$2:$AD$192)</f>
        <v>807351.38492160023</v>
      </c>
      <c r="I29">
        <v>1.86</v>
      </c>
      <c r="J29" s="29">
        <f t="shared" ca="1" si="26"/>
        <v>3.5041292748333341</v>
      </c>
      <c r="L29" s="29">
        <f t="shared" ca="1" si="27"/>
        <v>230400</v>
      </c>
      <c r="M29" s="39">
        <f t="shared" si="28"/>
        <v>94063.928419142001</v>
      </c>
      <c r="N29" s="39">
        <f t="shared" si="29"/>
        <v>6141.5947587080209</v>
      </c>
      <c r="P29" s="39">
        <f t="shared" ref="P29:Q33" ca="1" si="38">+P$27*$C29/$C$34</f>
        <v>0</v>
      </c>
      <c r="Q29" s="39">
        <f t="shared" ca="1" si="38"/>
        <v>0</v>
      </c>
      <c r="S29" s="39">
        <f t="shared" ca="1" si="30"/>
        <v>134438.12147773171</v>
      </c>
      <c r="T29" s="39">
        <f t="shared" ca="1" si="31"/>
        <v>8213.2066418400864</v>
      </c>
      <c r="W29" s="39">
        <f t="shared" ca="1" si="32"/>
        <v>16423.703399838225</v>
      </c>
      <c r="Y29" s="39">
        <f t="shared" ca="1" si="33"/>
        <v>807351.38492160023</v>
      </c>
      <c r="Z29" s="39">
        <f t="shared" ca="1" si="25"/>
        <v>228502.04989687371</v>
      </c>
      <c r="AA29" s="39">
        <f t="shared" ca="1" si="25"/>
        <v>30778.504800386334</v>
      </c>
      <c r="AC29" s="40">
        <f t="shared" ca="1" si="34"/>
        <v>3.5041292748333341</v>
      </c>
      <c r="AD29" s="40">
        <f t="shared" ca="1" si="35"/>
        <v>0.99176236934406992</v>
      </c>
      <c r="AE29" s="40">
        <f t="shared" ca="1" si="35"/>
        <v>0.13358726041834346</v>
      </c>
      <c r="AF29" s="40">
        <f t="shared" ca="1" si="36"/>
        <v>4.6294789045957474</v>
      </c>
      <c r="AG29" s="40" t="s">
        <v>378</v>
      </c>
      <c r="AH29" s="192">
        <f ca="1">+(ROUND(AF29,2)-AJ29)/AJ29</f>
        <v>2.1645021645021181E-3</v>
      </c>
      <c r="AI29" s="40"/>
      <c r="AJ29" s="40">
        <f>VLOOKUP(E29,Syspro!$A$2:$F$91,6,FALSE)</f>
        <v>4.62</v>
      </c>
      <c r="AK29" s="40">
        <v>4.6100000000000003</v>
      </c>
      <c r="AL29" s="40">
        <v>4.5322075055187634</v>
      </c>
      <c r="AM29" s="40">
        <v>4.3</v>
      </c>
      <c r="AN29" s="40">
        <v>3.75</v>
      </c>
      <c r="AO29" s="40">
        <v>3.69</v>
      </c>
      <c r="AP29" s="40">
        <v>3.6950899249327569</v>
      </c>
      <c r="AQ29" s="40">
        <v>3.9099999999999997</v>
      </c>
      <c r="AR29" s="40">
        <v>3.38</v>
      </c>
      <c r="AS29" s="40">
        <v>3.38</v>
      </c>
      <c r="AT29" s="40">
        <v>3.39</v>
      </c>
      <c r="AU29" s="40">
        <v>3.3200000000000003</v>
      </c>
      <c r="AV29" s="40">
        <v>3.6499999999999995</v>
      </c>
      <c r="AW29" s="40">
        <v>3.4427417289941808</v>
      </c>
      <c r="AX29" s="40">
        <v>3.3196432920425067</v>
      </c>
      <c r="AY29">
        <v>3.39</v>
      </c>
      <c r="AZ29" s="40">
        <v>2.6311290269403829</v>
      </c>
      <c r="BB29" s="3">
        <f t="shared" ca="1" si="37"/>
        <v>2.0517109514604534E-3</v>
      </c>
      <c r="BD29" s="40"/>
    </row>
    <row r="30" spans="1:56" x14ac:dyDescent="0.25">
      <c r="A30" s="1" t="s">
        <v>427</v>
      </c>
      <c r="B30" s="1" t="s">
        <v>381</v>
      </c>
      <c r="C30" s="99">
        <f ca="1">SUMIF('Asset Allocation'!$F$1:$I$270,Calc!A30,'Asset Allocation'!I:I)</f>
        <v>94000</v>
      </c>
      <c r="D30" s="7">
        <v>138</v>
      </c>
      <c r="E30" s="195" t="s">
        <v>427</v>
      </c>
      <c r="F30" s="43">
        <f ca="1">SUMIF(Wages!$O$2:$P$220,Calc!E30,Wages!$P$2:$P$220)</f>
        <v>3.95</v>
      </c>
      <c r="G30" s="38">
        <f ca="1">SUMIF(Wages!$O$2:$AD$192,Calc!E30,Wages!$AD$2:$AD$192)</f>
        <v>1557753.7909249067</v>
      </c>
      <c r="I30">
        <v>2.2799999999999998</v>
      </c>
      <c r="J30" s="29">
        <f t="shared" ca="1" si="26"/>
        <v>3.4233337529116268</v>
      </c>
      <c r="L30" s="29">
        <f t="shared" ca="1" si="27"/>
        <v>455040</v>
      </c>
      <c r="M30" s="39">
        <f t="shared" si="28"/>
        <v>202825.34565377494</v>
      </c>
      <c r="N30" s="39">
        <f t="shared" si="29"/>
        <v>13242.813698464171</v>
      </c>
      <c r="P30" s="39">
        <f t="shared" ca="1" si="38"/>
        <v>4399.1140432272005</v>
      </c>
      <c r="Q30" s="39">
        <f t="shared" ca="1" si="38"/>
        <v>5343.7435239391361</v>
      </c>
      <c r="S30" s="39">
        <f t="shared" ca="1" si="30"/>
        <v>265515.28991852014</v>
      </c>
      <c r="T30" s="39">
        <f t="shared" ca="1" si="31"/>
        <v>16221.083117634171</v>
      </c>
      <c r="W30" s="39">
        <f t="shared" ca="1" si="32"/>
        <v>32436.814214680493</v>
      </c>
      <c r="Y30" s="39">
        <f t="shared" ca="1" si="33"/>
        <v>1557753.7909249067</v>
      </c>
      <c r="Z30" s="39">
        <f t="shared" ca="1" si="25"/>
        <v>472739.74961552228</v>
      </c>
      <c r="AA30" s="39">
        <f t="shared" ca="1" si="25"/>
        <v>67244.454554717973</v>
      </c>
      <c r="AC30" s="40">
        <f t="shared" ca="1" si="34"/>
        <v>3.4233337529116268</v>
      </c>
      <c r="AD30" s="40">
        <f t="shared" ca="1" si="35"/>
        <v>1.0388971290777125</v>
      </c>
      <c r="AE30" s="40">
        <f t="shared" ca="1" si="35"/>
        <v>0.14777701862411649</v>
      </c>
      <c r="AF30" s="40">
        <f t="shared" ca="1" si="36"/>
        <v>4.6100079006134553</v>
      </c>
      <c r="AG30" s="40" t="s">
        <v>378</v>
      </c>
      <c r="AH30" s="192">
        <f ca="1">+(ROUND(AF30,2)-AJ30)/AJ30</f>
        <v>0</v>
      </c>
      <c r="AI30" s="40"/>
      <c r="AJ30" s="40">
        <f>VLOOKUP(E30,Syspro!$A$2:$F$91,6,FALSE)</f>
        <v>4.6100000000000003</v>
      </c>
      <c r="AK30" s="40">
        <v>4.59</v>
      </c>
      <c r="AL30" s="40">
        <v>4.5100000000000007</v>
      </c>
      <c r="AM30" s="40">
        <v>4.3999999999999995</v>
      </c>
      <c r="AN30" s="40">
        <v>3.9499999999999997</v>
      </c>
      <c r="AO30" s="40">
        <v>3.8899999999999997</v>
      </c>
      <c r="AP30" s="40">
        <v>3.8919537067626075</v>
      </c>
      <c r="AQ30" s="40">
        <v>3.8</v>
      </c>
      <c r="AR30" s="40">
        <v>3.49</v>
      </c>
      <c r="AS30" s="40">
        <v>3.49</v>
      </c>
      <c r="AT30" s="40">
        <v>3.5</v>
      </c>
      <c r="AU30" s="40">
        <v>3.42</v>
      </c>
      <c r="AV30" s="40">
        <v>3.53</v>
      </c>
      <c r="AW30" s="40">
        <v>3.3276832115891519</v>
      </c>
      <c r="AX30" s="40">
        <v>3.1238648045946427</v>
      </c>
      <c r="AY30">
        <v>4.51</v>
      </c>
      <c r="AZ30" s="40">
        <v>3.8039549133719786</v>
      </c>
      <c r="BB30" s="3">
        <f t="shared" ca="1" si="37"/>
        <v>1.7137990141028497E-6</v>
      </c>
      <c r="BD30" s="40"/>
    </row>
    <row r="31" spans="1:56" x14ac:dyDescent="0.25">
      <c r="A31" s="2" t="s">
        <v>428</v>
      </c>
      <c r="B31" s="2" t="s">
        <v>469</v>
      </c>
      <c r="C31" s="99">
        <f ca="1">SUMIF('Asset Allocation'!$F$1:$I$270,Calc!A31,'Asset Allocation'!I:I)</f>
        <v>0</v>
      </c>
      <c r="D31" s="7">
        <v>90</v>
      </c>
      <c r="E31" s="25" t="s">
        <v>428</v>
      </c>
      <c r="F31" s="43">
        <f ca="1">SUMIF(Wages!$O$2:$P$220,Calc!E31,Wages!$P$2:$P$220)</f>
        <v>2.7</v>
      </c>
      <c r="G31" s="38">
        <f ca="1">SUMIF(Wages!$O$2:$AD$192,Calc!E31,Wages!$AD$2:$AD$192)</f>
        <v>1080353.9020145067</v>
      </c>
      <c r="I31">
        <v>2.2799999999999998</v>
      </c>
      <c r="J31" s="29">
        <f t="shared" ca="1" si="26"/>
        <v>3.4733600244807961</v>
      </c>
      <c r="L31" s="29">
        <f t="shared" ca="1" si="27"/>
        <v>311040</v>
      </c>
      <c r="M31" s="39">
        <f t="shared" si="28"/>
        <v>132277.39933941845</v>
      </c>
      <c r="N31" s="39">
        <f t="shared" si="29"/>
        <v>8636.6176294331544</v>
      </c>
      <c r="P31" s="39">
        <f t="shared" ca="1" si="38"/>
        <v>0</v>
      </c>
      <c r="Q31" s="39">
        <f t="shared" ca="1" si="38"/>
        <v>0</v>
      </c>
      <c r="S31" s="39">
        <f t="shared" ca="1" si="30"/>
        <v>181491.4639949378</v>
      </c>
      <c r="T31" s="39">
        <f t="shared" ca="1" si="31"/>
        <v>11087.828966484118</v>
      </c>
      <c r="W31" s="39">
        <f t="shared" ca="1" si="32"/>
        <v>22171.999589781604</v>
      </c>
      <c r="Y31" s="39">
        <f t="shared" ca="1" si="33"/>
        <v>1080353.9020145067</v>
      </c>
      <c r="Z31" s="39">
        <f t="shared" ca="1" si="25"/>
        <v>313768.86333435623</v>
      </c>
      <c r="AA31" s="39">
        <f t="shared" ca="1" si="25"/>
        <v>41896.446185698878</v>
      </c>
      <c r="AC31" s="40">
        <f t="shared" ca="1" si="34"/>
        <v>3.4733600244807961</v>
      </c>
      <c r="AD31" s="40">
        <f t="shared" ca="1" si="35"/>
        <v>1.0087733517694066</v>
      </c>
      <c r="AE31" s="40">
        <f t="shared" ca="1" si="35"/>
        <v>0.13469793655381584</v>
      </c>
      <c r="AF31" s="40">
        <f t="shared" ca="1" si="36"/>
        <v>4.6168313128040186</v>
      </c>
      <c r="AG31" s="40" t="s">
        <v>378</v>
      </c>
      <c r="AH31" s="192">
        <f ca="1">+(ROUNDUP(AF31,2)-AJ31)/AJ31</f>
        <v>2.1691973969630773E-3</v>
      </c>
      <c r="AI31" s="40"/>
      <c r="AJ31" s="40">
        <f>VLOOKUP(E31,Syspro!$A$2:$F$91,6,FALSE)</f>
        <v>4.6100000000000003</v>
      </c>
      <c r="AK31" s="40">
        <v>4.6000000000000005</v>
      </c>
      <c r="AL31" s="40">
        <v>4.5222123893805302</v>
      </c>
      <c r="AM31" s="40">
        <v>4.59</v>
      </c>
      <c r="AN31" s="40">
        <v>3.84</v>
      </c>
      <c r="AO31" s="40">
        <v>3.78</v>
      </c>
      <c r="AP31" s="40">
        <v>3.7854808860690246</v>
      </c>
      <c r="AQ31" s="40">
        <v>3.7</v>
      </c>
      <c r="AR31" s="40">
        <v>3.51</v>
      </c>
      <c r="AS31" s="40">
        <v>3.51</v>
      </c>
      <c r="AT31" s="40">
        <v>3.52</v>
      </c>
      <c r="AU31" s="40">
        <v>3.4499999999999997</v>
      </c>
      <c r="AV31" s="40">
        <v>3.5199999999999996</v>
      </c>
      <c r="AW31" s="40">
        <v>3.3135836879160929</v>
      </c>
      <c r="AX31" s="40">
        <v>3.1122554497526722</v>
      </c>
      <c r="AY31">
        <v>4.51</v>
      </c>
      <c r="AZ31" s="40">
        <v>3.8039549133719786</v>
      </c>
      <c r="BB31" s="3">
        <f t="shared" ca="1" si="37"/>
        <v>1.4818465952317298E-3</v>
      </c>
      <c r="BD31" s="40"/>
    </row>
    <row r="32" spans="1:56" x14ac:dyDescent="0.25">
      <c r="A32" s="1" t="s">
        <v>429</v>
      </c>
      <c r="B32" s="1" t="s">
        <v>374</v>
      </c>
      <c r="C32" s="99">
        <f ca="1">SUMIF('Asset Allocation'!$F$1:$I$270,Calc!A32,'Asset Allocation'!I:I)</f>
        <v>132500</v>
      </c>
      <c r="D32" s="7">
        <v>39</v>
      </c>
      <c r="E32" s="195" t="s">
        <v>429</v>
      </c>
      <c r="F32" s="43">
        <f ca="1">SUMIF(Wages!$O$2:$P$220,Calc!E32,Wages!$P$2:$P$220)</f>
        <v>0.8</v>
      </c>
      <c r="G32" s="38">
        <f ca="1">SUMIF(Wages!$O$2:$AD$192,Calc!E32,Wages!$AD$2:$AD$192)</f>
        <v>335227.16854784003</v>
      </c>
      <c r="I32">
        <v>2.2799999999999998</v>
      </c>
      <c r="J32" s="29">
        <f t="shared" ca="1" si="26"/>
        <v>3.6374475753888893</v>
      </c>
      <c r="L32" s="29">
        <f t="shared" ca="1" si="27"/>
        <v>92160</v>
      </c>
      <c r="M32" s="39">
        <f t="shared" si="28"/>
        <v>57320.20638041466</v>
      </c>
      <c r="N32" s="39">
        <f t="shared" si="29"/>
        <v>3742.5343060877003</v>
      </c>
      <c r="P32" s="39">
        <f t="shared" ca="1" si="38"/>
        <v>6200.8788375277027</v>
      </c>
      <c r="Q32" s="39">
        <f t="shared" ca="1" si="38"/>
        <v>7532.4044353397394</v>
      </c>
      <c r="S32" s="39">
        <f t="shared" ca="1" si="30"/>
        <v>53775.248591092677</v>
      </c>
      <c r="T32" s="39">
        <f t="shared" ca="1" si="31"/>
        <v>3285.2826567360344</v>
      </c>
      <c r="W32" s="39">
        <f t="shared" ca="1" si="32"/>
        <v>6569.4813599352892</v>
      </c>
      <c r="Y32" s="39">
        <f t="shared" ca="1" si="33"/>
        <v>335227.16854784003</v>
      </c>
      <c r="Z32" s="39">
        <f t="shared" ca="1" si="25"/>
        <v>117296.33380903504</v>
      </c>
      <c r="AA32" s="39">
        <f t="shared" ca="1" si="25"/>
        <v>21129.702758098763</v>
      </c>
      <c r="AC32" s="40">
        <v>3.42</v>
      </c>
      <c r="AD32" s="40">
        <v>1.1599999999999999</v>
      </c>
      <c r="AE32" s="40">
        <f t="shared" ca="1" si="35"/>
        <v>0.2292719483300647</v>
      </c>
      <c r="AF32" s="40">
        <f t="shared" ca="1" si="36"/>
        <v>4.809271948330065</v>
      </c>
      <c r="AG32" s="40" t="s">
        <v>378</v>
      </c>
      <c r="AH32" s="192">
        <f ca="1">+(ROUND(AF32,2)-AJ32)/AJ32</f>
        <v>-1.8465247810813413E-16</v>
      </c>
      <c r="AI32" s="40"/>
      <c r="AJ32" s="40">
        <f>VLOOKUP(E32,Syspro!$A$2:$F$91,6,FALSE)</f>
        <v>4.8100000000000005</v>
      </c>
      <c r="AK32" s="40">
        <v>4.82</v>
      </c>
      <c r="AL32" s="40">
        <v>4.78</v>
      </c>
      <c r="AM32" s="40">
        <v>4.78</v>
      </c>
      <c r="AN32" s="40">
        <v>4.09</v>
      </c>
      <c r="AO32" s="40">
        <v>4.0299999999999994</v>
      </c>
      <c r="AP32" s="40">
        <v>4.0342803243126921</v>
      </c>
      <c r="AQ32" s="40">
        <v>3.9399999999999995</v>
      </c>
      <c r="AR32" s="40">
        <v>3.7500000000000004</v>
      </c>
      <c r="AS32" s="40">
        <v>3.7500000000000004</v>
      </c>
      <c r="AT32" s="40">
        <v>3.7699999999999996</v>
      </c>
      <c r="AU32" s="40">
        <v>3.6799999999999997</v>
      </c>
      <c r="AV32" s="40">
        <v>4.08</v>
      </c>
      <c r="AW32" s="40">
        <v>3.8571433524669194</v>
      </c>
      <c r="AX32" s="40">
        <v>3.7718558899042285</v>
      </c>
      <c r="AY32">
        <v>4.51</v>
      </c>
      <c r="AZ32" s="40">
        <v>3.8039549133719786</v>
      </c>
      <c r="BB32" s="3">
        <f t="shared" ca="1" si="37"/>
        <v>-1.5136209354168467E-4</v>
      </c>
      <c r="BD32" s="40"/>
    </row>
    <row r="33" spans="1:56" x14ac:dyDescent="0.25">
      <c r="A33" s="2" t="s">
        <v>418</v>
      </c>
      <c r="B33" s="2" t="s">
        <v>470</v>
      </c>
      <c r="C33" s="99">
        <f ca="1">SUMIF('Asset Allocation'!$F$1:$I$270,Calc!A33,'Asset Allocation'!I:I)</f>
        <v>5419.38</v>
      </c>
      <c r="D33" s="7">
        <v>24</v>
      </c>
      <c r="E33" s="25" t="s">
        <v>418</v>
      </c>
      <c r="F33" s="43">
        <f ca="1">SUMIF(Wages!$O$2:$P$220,Calc!E33,Wages!$P$2:$P$220)</f>
        <v>1</v>
      </c>
      <c r="G33" s="38">
        <f ca="1">SUMIF(Wages!$O$2:$AD$192,Calc!E33,Wages!$AD$2:$AD$192)</f>
        <v>282251.09561600001</v>
      </c>
      <c r="I33">
        <v>1.65</v>
      </c>
      <c r="J33" s="29">
        <f t="shared" ca="1" si="26"/>
        <v>2.4500963161111113</v>
      </c>
      <c r="L33" s="29">
        <f t="shared" ca="1" si="27"/>
        <v>115200</v>
      </c>
      <c r="M33" s="39">
        <f t="shared" si="28"/>
        <v>35273.973157178254</v>
      </c>
      <c r="N33" s="39">
        <f t="shared" si="29"/>
        <v>2303.0980345155081</v>
      </c>
      <c r="P33" s="39">
        <f t="shared" ca="1" si="38"/>
        <v>253.62202833600665</v>
      </c>
      <c r="Q33" s="39">
        <f t="shared" ca="1" si="38"/>
        <v>308.08273168899228</v>
      </c>
      <c r="S33" s="39">
        <f t="shared" ca="1" si="30"/>
        <v>67219.060738865854</v>
      </c>
      <c r="T33" s="39">
        <f t="shared" ca="1" si="31"/>
        <v>4106.6033209200432</v>
      </c>
      <c r="W33" s="39">
        <f t="shared" ca="1" si="32"/>
        <v>8211.8516999191124</v>
      </c>
      <c r="Y33" s="39">
        <f t="shared" ca="1" si="33"/>
        <v>282251.09561600001</v>
      </c>
      <c r="Z33" s="39">
        <f t="shared" ca="1" si="25"/>
        <v>102746.65592438012</v>
      </c>
      <c r="AA33" s="39">
        <f t="shared" ca="1" si="25"/>
        <v>14929.635787043655</v>
      </c>
      <c r="AC33" s="40">
        <f t="shared" ca="1" si="34"/>
        <v>2.4500963161111113</v>
      </c>
      <c r="AD33" s="40">
        <f t="shared" ca="1" si="35"/>
        <v>0.89189805489913299</v>
      </c>
      <c r="AE33" s="40">
        <f t="shared" ca="1" si="35"/>
        <v>0.12959753287364284</v>
      </c>
      <c r="AF33" s="40">
        <f t="shared" ca="1" si="36"/>
        <v>3.4715919038838874</v>
      </c>
      <c r="AG33" s="40" t="s">
        <v>378</v>
      </c>
      <c r="AH33" s="192">
        <f ca="1">+(ROUND(AF33,2)-AJ33)/AJ33</f>
        <v>0</v>
      </c>
      <c r="AI33" s="40"/>
      <c r="AJ33" s="40">
        <f>VLOOKUP(E33,Syspro!$A$2:$F$91,6,FALSE)</f>
        <v>3.47</v>
      </c>
      <c r="AK33" s="40">
        <v>3.45</v>
      </c>
      <c r="AL33" s="40">
        <v>3.3829585798816568</v>
      </c>
      <c r="AM33" s="40">
        <v>3.2100000000000004</v>
      </c>
      <c r="AN33" s="40">
        <v>2.7899999999999996</v>
      </c>
      <c r="AO33" s="40">
        <v>2.84</v>
      </c>
      <c r="AP33" s="40">
        <v>2.8506451487037836</v>
      </c>
      <c r="AQ33" s="40">
        <v>2.81</v>
      </c>
      <c r="AR33" s="40">
        <v>0</v>
      </c>
      <c r="AS33" s="40">
        <v>3.1</v>
      </c>
      <c r="AT33" s="40">
        <v>2.2400000000000002</v>
      </c>
      <c r="AU33" s="40">
        <v>1.58</v>
      </c>
      <c r="AV33" s="40">
        <v>3.64</v>
      </c>
      <c r="AW33" s="40">
        <v>3.490380437264097</v>
      </c>
      <c r="AX33" s="40">
        <v>3.2799386856466692</v>
      </c>
      <c r="AZ33" s="40">
        <v>1.65</v>
      </c>
      <c r="BB33" s="3">
        <f t="shared" ca="1" si="37"/>
        <v>4.587619261922741E-4</v>
      </c>
      <c r="BD33" s="40"/>
    </row>
    <row r="34" spans="1:56" x14ac:dyDescent="0.25">
      <c r="A34" s="7"/>
      <c r="B34" s="46" t="s">
        <v>468</v>
      </c>
      <c r="C34" s="100">
        <f ca="1">SUM(C28:C33)</f>
        <v>231919.38</v>
      </c>
      <c r="D34" s="7">
        <f>SUM(D28:D33)</f>
        <v>375</v>
      </c>
      <c r="E34" s="7"/>
      <c r="F34" s="43">
        <f ca="1">SUM(F28:F33)</f>
        <v>12.450000000000001</v>
      </c>
      <c r="G34" s="38"/>
      <c r="L34" s="29">
        <f ca="1">SUM(L28:L33)</f>
        <v>1434240</v>
      </c>
      <c r="AB34" t="s">
        <v>378</v>
      </c>
      <c r="AX34" s="40"/>
    </row>
    <row r="35" spans="1:56" ht="23.25" x14ac:dyDescent="0.35">
      <c r="A35" s="21"/>
      <c r="B35" s="22" t="s">
        <v>611</v>
      </c>
      <c r="C35" s="97"/>
      <c r="D35" s="7"/>
      <c r="E35" s="21"/>
      <c r="F35" s="43"/>
      <c r="G35" s="38"/>
      <c r="M35" s="59">
        <f>HLOOKUP($B$37,Overhead!$I:$I,M$1,FALSE)</f>
        <v>529697.11251798575</v>
      </c>
      <c r="N35" s="59">
        <f>HLOOKUP($B$37,Overhead!$I:$I,N$1,FALSE)</f>
        <v>518.85433616742966</v>
      </c>
      <c r="P35" s="59">
        <f>HLOOKUP($B$37,Overhead!$I:$I,P$1,FALSE)</f>
        <v>5426.8074545454547</v>
      </c>
      <c r="Q35" s="59">
        <f>HLOOKUP($B$37,Overhead!$I:$I,Q$1,FALSE)</f>
        <v>0</v>
      </c>
      <c r="S35" s="59">
        <f>HLOOKUP($B$37,Overhead!$I:$I,S$1,FALSE)</f>
        <v>271159.7760184533</v>
      </c>
      <c r="T35" s="59">
        <f>HLOOKUP($B$37,Overhead!$I:$I,T$1,FALSE)</f>
        <v>133793.40032727271</v>
      </c>
      <c r="W35" s="59">
        <f ca="1">HLOOKUP($B$37,Overhead!$I:$I,W$1,FALSE)</f>
        <v>17932.978959071232</v>
      </c>
      <c r="AX35" s="40"/>
    </row>
    <row r="36" spans="1:56" x14ac:dyDescent="0.25">
      <c r="A36" t="s">
        <v>415</v>
      </c>
      <c r="B36" s="7" t="s">
        <v>150</v>
      </c>
      <c r="C36" s="99">
        <f ca="1">SUMIF('Asset Allocation'!$F$1:$I$270,Calc!A36,'Asset Allocation'!I:I)</f>
        <v>45877.229999999996</v>
      </c>
      <c r="D36" s="7">
        <v>150</v>
      </c>
      <c r="E36" s="7" t="s">
        <v>415</v>
      </c>
      <c r="F36" s="43">
        <f ca="1">SUMIF(Wages!$O$2:$P$190,Calc!E36,Wages!$P$2:$P$190)</f>
        <v>2</v>
      </c>
      <c r="G36" s="38">
        <f ca="1">SUMIF(Wages!$O$2:$AD$192,Calc!E36,Wages!$AD$2:$AD$192)</f>
        <v>374336.10419840005</v>
      </c>
      <c r="I36">
        <v>2.33</v>
      </c>
      <c r="J36" s="29">
        <f ca="1">+G36/L36</f>
        <v>1.6247226744722225</v>
      </c>
      <c r="L36" s="29">
        <f ca="1">+F36*40*48*60</f>
        <v>230400</v>
      </c>
      <c r="M36" s="39">
        <f>+$D36/$D$37*M$35</f>
        <v>529697.11251798575</v>
      </c>
      <c r="N36" s="39">
        <f>+D36/$D$37*N$35</f>
        <v>518.85433616742966</v>
      </c>
      <c r="P36" s="39">
        <f ca="1">+P$35*$C36/$C$34</f>
        <v>1073.5062061561923</v>
      </c>
      <c r="Q36" s="39">
        <f ca="1">+Q$35*$C36/$C$34</f>
        <v>0</v>
      </c>
      <c r="S36" s="39">
        <f ca="1">+L36/$L$37*$S$35</f>
        <v>271159.7760184533</v>
      </c>
      <c r="T36" s="39">
        <f ca="1">+L36/$L$37*$T$35</f>
        <v>133793.40032727271</v>
      </c>
      <c r="W36" s="39">
        <f ca="1">+F36/$F$37*$W$35</f>
        <v>17932.978959071232</v>
      </c>
      <c r="Y36" s="59">
        <f ca="1">+G36</f>
        <v>374336.10419840005</v>
      </c>
      <c r="Z36" s="59">
        <f ca="1">+M36+P36+S36+V36</f>
        <v>801930.39474259526</v>
      </c>
      <c r="AA36" s="59">
        <f ca="1">+N36+Q36+T36+W36</f>
        <v>152245.23362251138</v>
      </c>
      <c r="AC36" s="40">
        <f ca="1">+Y36/L36</f>
        <v>1.6247226744722225</v>
      </c>
      <c r="AD36" s="40">
        <f ca="1">+Z36/$L36</f>
        <v>3.4806006716258473</v>
      </c>
      <c r="AE36" s="40">
        <f ca="1">+AA36/$L36</f>
        <v>0.6607866042643723</v>
      </c>
      <c r="AF36" s="40">
        <f ca="1">SUM(AC36:AE36)</f>
        <v>5.7661099503624422</v>
      </c>
      <c r="AG36" s="40"/>
      <c r="AH36" s="192">
        <f ca="1">+(AF36-AJ36)/AJ36</f>
        <v>1.0607552712573682E-3</v>
      </c>
      <c r="AI36" s="40"/>
      <c r="AJ36" s="40">
        <f>VLOOKUP(E36,Syspro!$A$2:$F$91,6,FALSE)</f>
        <v>5.76</v>
      </c>
      <c r="AK36" s="40">
        <v>5.5</v>
      </c>
      <c r="AL36" s="40">
        <v>5.1113402050619072</v>
      </c>
      <c r="AM36" s="40">
        <v>5.07</v>
      </c>
      <c r="AN36" s="40">
        <v>4.91</v>
      </c>
      <c r="AO36" s="40">
        <v>4.830000000000001</v>
      </c>
      <c r="AP36" s="40">
        <v>4.8307508624330273</v>
      </c>
      <c r="AQ36" s="40">
        <v>4.96</v>
      </c>
      <c r="AR36" s="40">
        <v>5.9399999999999995</v>
      </c>
      <c r="AS36" s="40">
        <v>5.9399999999999995</v>
      </c>
      <c r="AT36" s="40">
        <v>5.75</v>
      </c>
      <c r="AU36" s="40">
        <v>5.66</v>
      </c>
      <c r="AV36" s="40">
        <v>5.84</v>
      </c>
      <c r="AW36" s="40">
        <v>5.2677183968767087</v>
      </c>
      <c r="AX36" s="40">
        <v>5.6428627780737726</v>
      </c>
      <c r="AZ36" s="40">
        <v>2.2200000000000002</v>
      </c>
      <c r="BB36" s="3">
        <f ca="1">(+AF36-AJ36)/AJ36</f>
        <v>1.0607552712573682E-3</v>
      </c>
      <c r="BD36" s="40"/>
    </row>
    <row r="37" spans="1:56" x14ac:dyDescent="0.25">
      <c r="A37" s="7"/>
      <c r="B37" s="25" t="s">
        <v>1002</v>
      </c>
      <c r="C37" s="100">
        <f ca="1">SUM(C36)</f>
        <v>45877.229999999996</v>
      </c>
      <c r="D37" s="7">
        <f>SUM(D36)</f>
        <v>150</v>
      </c>
      <c r="E37" s="7"/>
      <c r="F37" s="43">
        <f ca="1">SUM(F36)</f>
        <v>2</v>
      </c>
      <c r="G37" s="38"/>
      <c r="L37" s="29">
        <f ca="1">SUM(L36)</f>
        <v>230400</v>
      </c>
      <c r="AX37" s="40"/>
    </row>
    <row r="38" spans="1:56" x14ac:dyDescent="0.25">
      <c r="A38" s="7"/>
      <c r="B38" s="7"/>
      <c r="C38" s="38"/>
      <c r="D38" s="7"/>
      <c r="E38" s="7"/>
      <c r="F38" s="43"/>
      <c r="G38" s="38"/>
      <c r="AX38" s="40"/>
    </row>
    <row r="39" spans="1:56" ht="23.25" x14ac:dyDescent="0.35">
      <c r="A39" s="21" t="s">
        <v>471</v>
      </c>
      <c r="B39" s="7"/>
      <c r="C39" s="38"/>
      <c r="D39" s="7"/>
      <c r="E39" s="21" t="s">
        <v>471</v>
      </c>
      <c r="F39" s="43"/>
      <c r="G39" s="38"/>
      <c r="M39" s="59">
        <f>HLOOKUP($B$48,Overhead!$J:$J,M$1,FALSE)</f>
        <v>500440.72985037509</v>
      </c>
      <c r="N39" s="59">
        <f>HLOOKUP($B$48,Overhead!$J:$J,N$1,FALSE)</f>
        <v>32674.703560427806</v>
      </c>
      <c r="P39" s="59">
        <f>HLOOKUP($B$48,Overhead!$J:$J,P$1,FALSE)</f>
        <v>21707.229818181819</v>
      </c>
      <c r="Q39" s="59">
        <f>HLOOKUP($B$48,Overhead!$J:$J,Q$1,FALSE)</f>
        <v>37217.095269095284</v>
      </c>
      <c r="S39" s="59">
        <f>HLOOKUP($B$48,Overhead!$J:$J,S$1,FALSE)</f>
        <v>565717.53018042666</v>
      </c>
      <c r="T39" s="59">
        <f>HLOOKUP($B$48,Overhead!$J:$J,T$1,FALSE)</f>
        <v>128528.01196363637</v>
      </c>
      <c r="W39" s="59">
        <f ca="1">HLOOKUP($B$48,Overhead!$J:$J,W$1,FALSE)</f>
        <v>82118.51699919111</v>
      </c>
      <c r="Y39" s="59">
        <f ca="1">SUM(Y40:Y47)</f>
        <v>4089933.9376405338</v>
      </c>
      <c r="Z39" s="59">
        <f>+M39+P39+S39+V39</f>
        <v>1087865.4898489835</v>
      </c>
      <c r="AA39" s="59">
        <f ca="1">+N39+Q39+T39+W39</f>
        <v>280538.32779235055</v>
      </c>
      <c r="AC39" s="40"/>
      <c r="AD39" s="40"/>
      <c r="AE39" s="40"/>
      <c r="AF39" s="40"/>
      <c r="AG39" s="40"/>
      <c r="AH39" s="173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</row>
    <row r="40" spans="1:56" x14ac:dyDescent="0.25">
      <c r="A40" s="1" t="s">
        <v>420</v>
      </c>
      <c r="B40" s="1" t="s">
        <v>370</v>
      </c>
      <c r="C40" s="99">
        <f ca="1">SUMIF('Asset Allocation'!$F$2:$I$269,Calc!$A40,'Asset Allocation'!$I$2:$I$269)</f>
        <v>61401.58</v>
      </c>
      <c r="D40" s="7">
        <v>83</v>
      </c>
      <c r="E40" s="1" t="s">
        <v>420</v>
      </c>
      <c r="F40" s="43">
        <f ca="1">SUMIF(Wages!$O$2:$P$220,Calc!E40,Wages!$P$2:$P$220)</f>
        <v>3</v>
      </c>
      <c r="G40" s="38">
        <f ca="1">SUMIF(Wages!$O$2:$AD$192,Calc!E40,Wages!$AD$2:$AD$192)</f>
        <v>1276708.3502230402</v>
      </c>
      <c r="I40">
        <v>2.31</v>
      </c>
      <c r="J40" s="29">
        <f t="shared" ref="J40:J47" ca="1" si="39">+G40/L40</f>
        <v>3.6941792541175933</v>
      </c>
      <c r="L40" s="29">
        <f t="shared" ref="L40:L47" ca="1" si="40">+F40*40*48*60</f>
        <v>345600</v>
      </c>
      <c r="M40" s="39">
        <f t="shared" ref="M40:N47" si="41">+$D40/$D$48*M$39</f>
        <v>91289.188082595894</v>
      </c>
      <c r="N40" s="39">
        <f t="shared" si="41"/>
        <v>5960.440429704413</v>
      </c>
      <c r="P40" s="39">
        <f t="shared" ref="P40:Q47" ca="1" si="42">+P$39*$C40/$C$48</f>
        <v>2035.9130626400183</v>
      </c>
      <c r="Q40" s="39">
        <f t="shared" ca="1" si="42"/>
        <v>3490.5776115386252</v>
      </c>
      <c r="S40" s="39">
        <f t="shared" ref="S40" ca="1" si="43">+$S$39*L40/$L$48</f>
        <v>169715.25905412802</v>
      </c>
      <c r="T40" s="39">
        <f t="shared" ref="T40" ca="1" si="44">+$T$39*L40/$L$48</f>
        <v>38558.403589090907</v>
      </c>
      <c r="W40" s="39">
        <f t="shared" ref="W40:W47" ca="1" si="45">+$W$39*F40/$F$48</f>
        <v>24635.555099757334</v>
      </c>
      <c r="Y40" s="39">
        <f t="shared" ref="Y40:Y47" ca="1" si="46">+G40</f>
        <v>1276708.3502230402</v>
      </c>
      <c r="Z40" s="39">
        <f t="shared" ref="Z40:Z47" ca="1" si="47">+M40+P40+S40+V40</f>
        <v>263040.3601993639</v>
      </c>
      <c r="AA40" s="39">
        <f t="shared" ref="AA40:AA47" ca="1" si="48">+N40+Q40+T40+W40</f>
        <v>72644.976730091279</v>
      </c>
      <c r="AC40" s="40">
        <f t="shared" ref="AC40:AC47" ca="1" si="49">+Y40/L40</f>
        <v>3.6941792541175933</v>
      </c>
      <c r="AD40" s="40">
        <f t="shared" ref="AD40:AE47" ca="1" si="50">+Z40/$L40</f>
        <v>0.76111215335464089</v>
      </c>
      <c r="AE40" s="40">
        <f t="shared" ref="AE40:AE45" ca="1" si="51">+AA40/$L40</f>
        <v>0.21019958544586598</v>
      </c>
      <c r="AF40" s="40">
        <f t="shared" ref="AF40:AF47" ca="1" si="52">SUM(AC40:AE40)</f>
        <v>4.6654909929181008</v>
      </c>
      <c r="AG40" s="40" t="s">
        <v>378</v>
      </c>
      <c r="AH40" s="192">
        <f t="shared" ref="AH40:AH47" ca="1" si="53">+(ROUND(AF40,2)-AJ40)/AJ40</f>
        <v>2.1459227467810699E-3</v>
      </c>
      <c r="AI40" s="40"/>
      <c r="AJ40" s="40">
        <f>VLOOKUP(E40,Syspro!$A$2:$F$91,6,FALSE)</f>
        <v>4.66</v>
      </c>
      <c r="AK40" s="40">
        <v>4.6399999999999997</v>
      </c>
      <c r="AL40" s="40">
        <v>4.7300000000000004</v>
      </c>
      <c r="AM40" s="40">
        <v>4.1500000000000004</v>
      </c>
      <c r="AN40" s="40">
        <v>5.21</v>
      </c>
      <c r="AO40" s="40">
        <v>5.0999999999999996</v>
      </c>
      <c r="AP40" s="40">
        <v>5.0929133134538711</v>
      </c>
      <c r="AQ40" s="40">
        <v>4.9499999999999993</v>
      </c>
      <c r="AR40" s="40">
        <v>4.96</v>
      </c>
      <c r="AS40" s="40">
        <v>4.96</v>
      </c>
      <c r="AT40" s="40">
        <v>5.08</v>
      </c>
      <c r="AU40" s="40">
        <v>4.6499999999999995</v>
      </c>
      <c r="AV40" s="40">
        <v>4.6100000000000003</v>
      </c>
      <c r="AW40" s="40">
        <v>4.3082855611410933</v>
      </c>
      <c r="AX40" s="40">
        <v>4.2295808359375053</v>
      </c>
      <c r="AY40">
        <v>3.11</v>
      </c>
      <c r="AZ40">
        <v>2.68</v>
      </c>
      <c r="BB40" s="3">
        <f t="shared" ref="BB40:BB47" ca="1" si="54">(+AF40-AJ40)/AJ40</f>
        <v>1.1783246605366145E-3</v>
      </c>
      <c r="BD40" s="40"/>
    </row>
    <row r="41" spans="1:56" x14ac:dyDescent="0.25">
      <c r="A41" s="2" t="s">
        <v>421</v>
      </c>
      <c r="B41" s="2" t="s">
        <v>371</v>
      </c>
      <c r="C41" s="99">
        <f ca="1">SUMIF('Asset Allocation'!$F$1:$I$270,Calc!A41,'Asset Allocation'!I:I)</f>
        <v>0</v>
      </c>
      <c r="D41" s="7">
        <v>7</v>
      </c>
      <c r="E41" s="2" t="s">
        <v>421</v>
      </c>
      <c r="F41" s="43">
        <f ca="1">SUMIF(Wages!$O$2:$P$220,Calc!E41,Wages!$P$2:$P$220)</f>
        <v>0.2</v>
      </c>
      <c r="G41" s="38">
        <f ca="1">SUMIF(Wages!$O$2:$AD$192,Calc!E41,Wages!$AD$2:$AD$192)</f>
        <v>85941.061824640012</v>
      </c>
      <c r="I41">
        <v>2.31</v>
      </c>
      <c r="J41" s="29">
        <f t="shared" ca="1" si="39"/>
        <v>3.7300808083611114</v>
      </c>
      <c r="L41" s="29">
        <f t="shared" ca="1" si="40"/>
        <v>23040</v>
      </c>
      <c r="M41" s="39">
        <f t="shared" si="41"/>
        <v>7699.0881515442325</v>
      </c>
      <c r="N41" s="39">
        <f t="shared" si="41"/>
        <v>502.68774708350475</v>
      </c>
      <c r="P41" s="39">
        <f t="shared" ca="1" si="42"/>
        <v>0</v>
      </c>
      <c r="Q41" s="39">
        <f t="shared" ca="1" si="42"/>
        <v>0</v>
      </c>
      <c r="S41" s="39">
        <f t="shared" ref="S41:S47" ca="1" si="55">+$S$39*L41/$L$48</f>
        <v>11314.350603608535</v>
      </c>
      <c r="T41" s="39">
        <f t="shared" ref="T41:T47" ca="1" si="56">+$T$39*L41/$L$48</f>
        <v>2570.5602392727274</v>
      </c>
      <c r="W41" s="39">
        <f t="shared" ca="1" si="45"/>
        <v>1642.3703399838221</v>
      </c>
      <c r="Y41" s="39">
        <f t="shared" ca="1" si="46"/>
        <v>85941.061824640012</v>
      </c>
      <c r="Z41" s="39">
        <f t="shared" ca="1" si="47"/>
        <v>19013.438755152769</v>
      </c>
      <c r="AA41" s="39">
        <f t="shared" ca="1" si="48"/>
        <v>4715.6183263400544</v>
      </c>
      <c r="AC41" s="40">
        <f t="shared" ca="1" si="49"/>
        <v>3.7300808083611114</v>
      </c>
      <c r="AD41" s="40">
        <f t="shared" ca="1" si="50"/>
        <v>0.82523605708128334</v>
      </c>
      <c r="AE41" s="40">
        <f t="shared" ca="1" si="51"/>
        <v>0.20467093430295374</v>
      </c>
      <c r="AF41" s="40">
        <f t="shared" ca="1" si="52"/>
        <v>4.7599877997453479</v>
      </c>
      <c r="AG41" s="40" t="s">
        <v>378</v>
      </c>
      <c r="AH41" s="192">
        <f t="shared" ca="1" si="53"/>
        <v>0</v>
      </c>
      <c r="AI41" s="40"/>
      <c r="AJ41" s="40">
        <f>VLOOKUP(E41,Syspro!$A$2:$F$91,6,FALSE)</f>
        <v>4.76</v>
      </c>
      <c r="AK41" s="40">
        <v>4.7300000000000004</v>
      </c>
      <c r="AL41" s="40">
        <v>4.66</v>
      </c>
      <c r="AM41" s="40">
        <v>4.25</v>
      </c>
      <c r="AN41" s="40">
        <v>4.87</v>
      </c>
      <c r="AO41" s="40">
        <v>4.7600000000000007</v>
      </c>
      <c r="AP41" s="40">
        <v>4.7542742522555708</v>
      </c>
      <c r="AQ41" s="40">
        <v>4.62</v>
      </c>
      <c r="AR41" s="40">
        <v>4.6000000000000005</v>
      </c>
      <c r="AS41" s="40">
        <v>4.6000000000000005</v>
      </c>
      <c r="AT41" s="40">
        <v>4.7299999999999995</v>
      </c>
      <c r="AU41" s="40">
        <v>4.3</v>
      </c>
      <c r="AV41" s="40">
        <v>5.2299999999999995</v>
      </c>
      <c r="AW41" s="40">
        <v>4.8896709491590853</v>
      </c>
      <c r="AX41" s="40">
        <v>4.7829863603467615</v>
      </c>
      <c r="AY41">
        <v>3.11</v>
      </c>
      <c r="AZ41">
        <v>2.68</v>
      </c>
      <c r="BB41" s="3">
        <f t="shared" ca="1" si="54"/>
        <v>-2.5630787083766619E-6</v>
      </c>
      <c r="BD41" s="40"/>
    </row>
    <row r="42" spans="1:56" x14ac:dyDescent="0.25">
      <c r="A42" s="1" t="s">
        <v>408</v>
      </c>
      <c r="B42" s="1" t="s">
        <v>372</v>
      </c>
      <c r="C42" s="99">
        <f ca="1">SUMIF('Asset Allocation'!$F$1:$I$270,Calc!A42,'Asset Allocation'!I:I)</f>
        <v>5647.83</v>
      </c>
      <c r="D42" s="7">
        <v>7</v>
      </c>
      <c r="E42" s="1" t="s">
        <v>408</v>
      </c>
      <c r="F42" s="43">
        <f ca="1">SUMIF(Wages!$O$2:$P$220,Calc!E42,Wages!$P$2:$P$220)</f>
        <v>0.65</v>
      </c>
      <c r="G42" s="38">
        <f ca="1">SUMIF(Wages!$O$2:$AD$192,Calc!E42,Wages!$AD$2:$AD$192)</f>
        <v>274244.19438207999</v>
      </c>
      <c r="I42">
        <v>2.31</v>
      </c>
      <c r="J42" s="29">
        <f t="shared" ca="1" si="39"/>
        <v>3.6624491771111112</v>
      </c>
      <c r="L42" s="29">
        <f t="shared" ca="1" si="40"/>
        <v>74880</v>
      </c>
      <c r="M42" s="39">
        <f t="shared" si="41"/>
        <v>7699.0881515442325</v>
      </c>
      <c r="N42" s="39">
        <f t="shared" si="41"/>
        <v>502.68774708350475</v>
      </c>
      <c r="P42" s="39">
        <f t="shared" ca="1" si="42"/>
        <v>187.26701939217483</v>
      </c>
      <c r="Q42" s="39">
        <f t="shared" ca="1" si="42"/>
        <v>321.06973390222521</v>
      </c>
      <c r="S42" s="39">
        <f t="shared" ca="1" si="55"/>
        <v>36771.639461727733</v>
      </c>
      <c r="T42" s="39">
        <f t="shared" ca="1" si="56"/>
        <v>8354.3207776363633</v>
      </c>
      <c r="W42" s="39">
        <f t="shared" ca="1" si="45"/>
        <v>5337.7036049474218</v>
      </c>
      <c r="Y42" s="39">
        <f t="shared" ca="1" si="46"/>
        <v>274244.19438207999</v>
      </c>
      <c r="Z42" s="39">
        <f t="shared" ca="1" si="47"/>
        <v>44657.994632664137</v>
      </c>
      <c r="AA42" s="39">
        <f t="shared" ca="1" si="48"/>
        <v>14515.781863569515</v>
      </c>
      <c r="AC42" s="40">
        <f t="shared" ca="1" si="49"/>
        <v>3.6624491771111112</v>
      </c>
      <c r="AD42" s="40">
        <f t="shared" ca="1" si="50"/>
        <v>0.59639415909006588</v>
      </c>
      <c r="AE42" s="40">
        <f t="shared" ca="1" si="51"/>
        <v>0.19385392446006297</v>
      </c>
      <c r="AF42" s="40">
        <f t="shared" ca="1" si="52"/>
        <v>4.4526972606612398</v>
      </c>
      <c r="AG42" s="40" t="s">
        <v>378</v>
      </c>
      <c r="AH42" s="192">
        <f t="shared" ca="1" si="53"/>
        <v>0</v>
      </c>
      <c r="AI42" s="40"/>
      <c r="AJ42" s="40">
        <f>VLOOKUP(E42,Syspro!$A$2:$F$91,6,FALSE)</f>
        <v>4.45</v>
      </c>
      <c r="AK42" s="40">
        <v>4.43</v>
      </c>
      <c r="AL42" s="40">
        <v>4.3600000000000003</v>
      </c>
      <c r="AM42" s="40">
        <v>3.77</v>
      </c>
      <c r="AN42" s="40">
        <v>4.9000000000000004</v>
      </c>
      <c r="AO42" s="40">
        <v>4.78</v>
      </c>
      <c r="AP42" s="40">
        <v>4.7818603080684028</v>
      </c>
      <c r="AQ42" s="40">
        <v>4.6399999999999997</v>
      </c>
      <c r="AR42" s="40">
        <v>4.6399999999999997</v>
      </c>
      <c r="AS42" s="40">
        <v>4.6399999999999997</v>
      </c>
      <c r="AT42" s="40">
        <v>4.7700000000000005</v>
      </c>
      <c r="AU42" s="40">
        <v>4.34</v>
      </c>
      <c r="AV42" s="40">
        <v>5.3100000000000005</v>
      </c>
      <c r="AW42" s="40">
        <v>4.9671274282530282</v>
      </c>
      <c r="AX42" s="40">
        <v>4.7829863603467615</v>
      </c>
      <c r="AY42">
        <v>3.11</v>
      </c>
      <c r="AZ42">
        <v>2.68</v>
      </c>
      <c r="BB42" s="3">
        <f t="shared" ca="1" si="54"/>
        <v>6.0612599128980968E-4</v>
      </c>
      <c r="BD42" s="40"/>
    </row>
    <row r="43" spans="1:56" x14ac:dyDescent="0.25">
      <c r="A43" s="2" t="s">
        <v>423</v>
      </c>
      <c r="B43" s="2" t="s">
        <v>376</v>
      </c>
      <c r="C43" s="99">
        <f ca="1">SUMIF('Asset Allocation'!$F$1:$I$270,Calc!A43,'Asset Allocation'!I:I)</f>
        <v>32995.24</v>
      </c>
      <c r="D43" s="7">
        <v>67</v>
      </c>
      <c r="E43" s="2" t="s">
        <v>423</v>
      </c>
      <c r="F43" s="43">
        <f ca="1">SUMIF(Wages!$O$2:$P$220,Calc!E43,Wages!$P$2:$P$220)</f>
        <v>1.4</v>
      </c>
      <c r="G43" s="38">
        <f ca="1">SUMIF(Wages!$O$2:$AD$192,Calc!E43,Wages!$AD$2:$AD$192)</f>
        <v>624164.08706176013</v>
      </c>
      <c r="I43">
        <v>2.31</v>
      </c>
      <c r="J43" s="29">
        <f t="shared" ca="1" si="39"/>
        <v>3.8700650239444454</v>
      </c>
      <c r="L43" s="29">
        <f t="shared" ca="1" si="40"/>
        <v>161280</v>
      </c>
      <c r="M43" s="39">
        <f t="shared" si="41"/>
        <v>73691.272307637657</v>
      </c>
      <c r="N43" s="39">
        <f t="shared" si="41"/>
        <v>4811.4398649421164</v>
      </c>
      <c r="P43" s="39">
        <f t="shared" ca="1" si="42"/>
        <v>1094.0343900098733</v>
      </c>
      <c r="Q43" s="39">
        <f t="shared" ca="1" si="42"/>
        <v>1875.7244688384842</v>
      </c>
      <c r="S43" s="39">
        <f t="shared" ca="1" si="55"/>
        <v>79200.454225259731</v>
      </c>
      <c r="T43" s="39">
        <f t="shared" ca="1" si="56"/>
        <v>17993.921674909092</v>
      </c>
      <c r="W43" s="39">
        <f t="shared" ca="1" si="45"/>
        <v>11496.592379886755</v>
      </c>
      <c r="Y43" s="39">
        <f t="shared" ca="1" si="46"/>
        <v>624164.08706176013</v>
      </c>
      <c r="Z43" s="39">
        <f t="shared" ca="1" si="47"/>
        <v>153985.76092290727</v>
      </c>
      <c r="AA43" s="39">
        <f t="shared" ca="1" si="48"/>
        <v>36177.678388576445</v>
      </c>
      <c r="AC43" s="40">
        <f t="shared" ca="1" si="49"/>
        <v>3.8700650239444454</v>
      </c>
      <c r="AD43" s="40">
        <f t="shared" ca="1" si="50"/>
        <v>0.95477282318270873</v>
      </c>
      <c r="AE43" s="40">
        <f t="shared" ca="1" si="51"/>
        <v>0.22431596223075673</v>
      </c>
      <c r="AF43" s="40">
        <f t="shared" ca="1" si="52"/>
        <v>5.0491538093579109</v>
      </c>
      <c r="AG43" s="40" t="s">
        <v>378</v>
      </c>
      <c r="AH43" s="192">
        <f t="shared" ca="1" si="53"/>
        <v>1.9841269841269419E-3</v>
      </c>
      <c r="AI43" s="40"/>
      <c r="AJ43" s="40">
        <f>VLOOKUP(E43,Syspro!$A$2:$F$91,6,FALSE)</f>
        <v>5.04</v>
      </c>
      <c r="AK43" s="40">
        <v>5.0200000000000005</v>
      </c>
      <c r="AL43" s="40">
        <v>4.9400000000000004</v>
      </c>
      <c r="AM43" s="40">
        <v>4.66</v>
      </c>
      <c r="AN43" s="40">
        <v>4.51</v>
      </c>
      <c r="AO43" s="40">
        <v>4.2699999999999996</v>
      </c>
      <c r="AP43" s="40">
        <v>4.2707248145906531</v>
      </c>
      <c r="AQ43" s="40">
        <v>4.1499999999999995</v>
      </c>
      <c r="AR43" s="40">
        <v>4.1399999999999997</v>
      </c>
      <c r="AS43" s="40">
        <v>4.1399999999999997</v>
      </c>
      <c r="AT43" s="40">
        <v>4.29</v>
      </c>
      <c r="AU43" s="40">
        <v>4.12</v>
      </c>
      <c r="AV43" s="40">
        <v>4.6900000000000004</v>
      </c>
      <c r="AW43" s="40">
        <v>4.3803709631018819</v>
      </c>
      <c r="AX43" s="40">
        <v>4.3007410248910629</v>
      </c>
      <c r="AY43">
        <v>3.11</v>
      </c>
      <c r="AZ43">
        <v>2.68</v>
      </c>
      <c r="BB43" s="3">
        <f t="shared" ca="1" si="54"/>
        <v>1.816232015458508E-3</v>
      </c>
      <c r="BD43" s="40"/>
    </row>
    <row r="44" spans="1:56" x14ac:dyDescent="0.25">
      <c r="A44" s="1" t="s">
        <v>454</v>
      </c>
      <c r="B44" s="1" t="s">
        <v>375</v>
      </c>
      <c r="C44" s="99">
        <f ca="1">SUMIF('Asset Allocation'!$F$1:$I$270,Calc!A44,'Asset Allocation'!I:I)</f>
        <v>180936</v>
      </c>
      <c r="D44" s="7">
        <v>60</v>
      </c>
      <c r="E44" s="1" t="s">
        <v>454</v>
      </c>
      <c r="F44" s="43">
        <f ca="1">SUMIF(Wages!$O$2:$P$220,Calc!E44,Wages!$P$2:$P$220)</f>
        <v>0.7</v>
      </c>
      <c r="G44" s="38">
        <f ca="1">SUMIF(Wages!$O$2:$AD$192,Calc!E44,Wages!$AD$2:$AD$192)</f>
        <v>299493.55954176001</v>
      </c>
      <c r="I44">
        <v>2.31</v>
      </c>
      <c r="J44" s="29">
        <f t="shared" ca="1" si="39"/>
        <v>3.7139578316190476</v>
      </c>
      <c r="L44" s="29">
        <f t="shared" ca="1" si="40"/>
        <v>80640</v>
      </c>
      <c r="M44" s="39">
        <f t="shared" si="41"/>
        <v>65992.184156093426</v>
      </c>
      <c r="N44" s="39">
        <f t="shared" si="41"/>
        <v>4308.7521178586121</v>
      </c>
      <c r="P44" s="39">
        <f t="shared" ca="1" si="42"/>
        <v>5999.3564644726466</v>
      </c>
      <c r="Q44" s="39">
        <f t="shared" ca="1" si="42"/>
        <v>10285.91040688778</v>
      </c>
      <c r="S44" s="39">
        <f t="shared" ca="1" si="55"/>
        <v>39600.227112629866</v>
      </c>
      <c r="T44" s="39">
        <f t="shared" ca="1" si="56"/>
        <v>8996.960837454546</v>
      </c>
      <c r="W44" s="39">
        <f t="shared" ca="1" si="45"/>
        <v>5748.2961899433776</v>
      </c>
      <c r="Y44" s="39">
        <f t="shared" ca="1" si="46"/>
        <v>299493.55954176001</v>
      </c>
      <c r="Z44" s="39">
        <f t="shared" ca="1" si="47"/>
        <v>111591.76773319594</v>
      </c>
      <c r="AA44" s="39">
        <f t="shared" ca="1" si="48"/>
        <v>29339.919552144318</v>
      </c>
      <c r="AC44" s="40">
        <f t="shared" ca="1" si="49"/>
        <v>3.7139578316190476</v>
      </c>
      <c r="AD44" s="40">
        <f t="shared" ca="1" si="50"/>
        <v>1.3838264847866559</v>
      </c>
      <c r="AE44" s="40">
        <f t="shared" ca="1" si="51"/>
        <v>0.36383828809702773</v>
      </c>
      <c r="AF44" s="40">
        <f t="shared" ca="1" si="52"/>
        <v>5.4616226045027307</v>
      </c>
      <c r="AG44" s="40" t="s">
        <v>378</v>
      </c>
      <c r="AH44" s="192">
        <f t="shared" ca="1" si="53"/>
        <v>1.8348623853210618E-3</v>
      </c>
      <c r="AI44" s="40"/>
      <c r="AJ44" s="40">
        <f>VLOOKUP(E44,Syspro!$A$2:$F$91,6,FALSE)</f>
        <v>5.45</v>
      </c>
      <c r="AK44" s="40">
        <v>5.45</v>
      </c>
      <c r="AL44" s="40">
        <v>5.3100000000000005</v>
      </c>
      <c r="AM44" s="40">
        <v>4.9000000000000004</v>
      </c>
      <c r="AN44" s="40">
        <v>3.8400000000000003</v>
      </c>
      <c r="AO44" s="40">
        <v>4.3100000000000005</v>
      </c>
      <c r="AP44" s="40">
        <v>4.3062002199723137</v>
      </c>
      <c r="AQ44" s="40">
        <v>4.04</v>
      </c>
      <c r="AR44" s="40">
        <v>4.1100000000000003</v>
      </c>
      <c r="AS44" s="40">
        <v>4.1100000000000003</v>
      </c>
      <c r="AT44" s="40">
        <v>4.16</v>
      </c>
      <c r="AU44" s="40">
        <v>4.16</v>
      </c>
      <c r="AV44" s="40">
        <v>3.91</v>
      </c>
      <c r="AW44" s="40">
        <v>3.6268439355035644</v>
      </c>
      <c r="AX44" s="40">
        <v>3.6559690614038267</v>
      </c>
      <c r="AY44">
        <v>3.11</v>
      </c>
      <c r="AZ44">
        <v>2.68</v>
      </c>
      <c r="BB44" s="3">
        <f t="shared" ca="1" si="54"/>
        <v>2.1325879821523963E-3</v>
      </c>
      <c r="BD44" s="40"/>
    </row>
    <row r="45" spans="1:56" x14ac:dyDescent="0.25">
      <c r="A45" s="2" t="s">
        <v>422</v>
      </c>
      <c r="B45" s="2" t="s">
        <v>373</v>
      </c>
      <c r="C45" s="99">
        <f ca="1">SUMIF('Asset Allocation'!$F$1:$I$270,Calc!A45,'Asset Allocation'!I:I)</f>
        <v>373692.79000000004</v>
      </c>
      <c r="D45" s="7">
        <f>133+38</f>
        <v>171</v>
      </c>
      <c r="E45" s="2" t="s">
        <v>422</v>
      </c>
      <c r="F45" s="43">
        <f ca="1">SUMIF(Wages!$O$2:$P$220,Calc!E45,Wages!$P$2:$P$220)</f>
        <v>2.75</v>
      </c>
      <c r="G45" s="38">
        <f ca="1">SUMIF(Wages!$O$2:$AD$192,Calc!E45,Wages!$AD$2:$AD$192)</f>
        <v>1097852.6376756267</v>
      </c>
      <c r="I45">
        <v>2.31</v>
      </c>
      <c r="J45" s="29">
        <f t="shared" ca="1" si="39"/>
        <v>3.4654439320569024</v>
      </c>
      <c r="L45" s="29">
        <f t="shared" ca="1" si="40"/>
        <v>316800</v>
      </c>
      <c r="M45" s="39">
        <f t="shared" si="41"/>
        <v>188077.72484486623</v>
      </c>
      <c r="N45" s="39">
        <f t="shared" si="41"/>
        <v>12279.943535897044</v>
      </c>
      <c r="P45" s="39">
        <f t="shared" ca="1" si="42"/>
        <v>12390.658881667105</v>
      </c>
      <c r="Q45" s="39">
        <f t="shared" ca="1" si="42"/>
        <v>21243.813047928164</v>
      </c>
      <c r="S45" s="39">
        <f t="shared" ca="1" si="55"/>
        <v>155572.32079961733</v>
      </c>
      <c r="T45" s="39">
        <f t="shared" ca="1" si="56"/>
        <v>35345.203290000005</v>
      </c>
      <c r="W45" s="39">
        <f t="shared" ca="1" si="45"/>
        <v>22582.592174777554</v>
      </c>
      <c r="Y45" s="39">
        <f t="shared" ca="1" si="46"/>
        <v>1097852.6376756267</v>
      </c>
      <c r="Z45" s="39">
        <f t="shared" ca="1" si="47"/>
        <v>356040.70452615066</v>
      </c>
      <c r="AA45" s="39">
        <f t="shared" ca="1" si="48"/>
        <v>91451.552048602767</v>
      </c>
      <c r="AC45" s="40">
        <f t="shared" ca="1" si="49"/>
        <v>3.4654439320569024</v>
      </c>
      <c r="AD45" s="40">
        <f t="shared" ca="1" si="50"/>
        <v>1.1238658602466878</v>
      </c>
      <c r="AE45" s="40">
        <f t="shared" ca="1" si="51"/>
        <v>0.28867282843624609</v>
      </c>
      <c r="AF45" s="40">
        <f t="shared" ca="1" si="52"/>
        <v>4.8779826207398358</v>
      </c>
      <c r="AG45" s="40" t="s">
        <v>378</v>
      </c>
      <c r="AH45" s="192">
        <f t="shared" ca="1" si="53"/>
        <v>0</v>
      </c>
      <c r="AI45" s="40"/>
      <c r="AJ45" s="40">
        <f>VLOOKUP(E45,Syspro!$A$2:$F$91,6,FALSE)</f>
        <v>4.88</v>
      </c>
      <c r="AK45" s="40">
        <v>4.87</v>
      </c>
      <c r="AL45" s="40">
        <v>5.1800000000000006</v>
      </c>
      <c r="AM45" s="40">
        <v>4.7300000000000004</v>
      </c>
      <c r="AN45" s="40">
        <v>4.6800000000000006</v>
      </c>
      <c r="AO45" s="40">
        <v>4.33</v>
      </c>
      <c r="AP45" s="40">
        <v>4.3365369596494485</v>
      </c>
      <c r="AQ45" s="40">
        <v>4.04</v>
      </c>
      <c r="AR45" s="40">
        <v>3.92</v>
      </c>
      <c r="AS45" s="40">
        <v>3.92</v>
      </c>
      <c r="AT45" s="40">
        <v>4.04</v>
      </c>
      <c r="AU45" s="40">
        <v>3.87</v>
      </c>
      <c r="AV45" s="40">
        <v>3.7299999999999995</v>
      </c>
      <c r="AW45" s="40">
        <v>3.4860327962602491</v>
      </c>
      <c r="AX45" s="40">
        <v>3.558087983575061</v>
      </c>
      <c r="AY45">
        <v>3.11</v>
      </c>
      <c r="AZ45">
        <v>2.68</v>
      </c>
      <c r="BB45" s="3">
        <f t="shared" ca="1" si="54"/>
        <v>-4.1339738937788901E-4</v>
      </c>
      <c r="BD45" s="40"/>
    </row>
    <row r="46" spans="1:56" x14ac:dyDescent="0.25">
      <c r="A46" s="2" t="s">
        <v>840</v>
      </c>
      <c r="B46" s="2" t="s">
        <v>374</v>
      </c>
      <c r="C46" s="99">
        <f ca="1">SUMIF('Asset Allocation'!$F$1:$I$270,Calc!A46,'Asset Allocation'!I:I)</f>
        <v>0</v>
      </c>
      <c r="D46" s="7">
        <v>40</v>
      </c>
      <c r="E46" s="2" t="s">
        <v>840</v>
      </c>
      <c r="F46" s="43">
        <f ca="1">SUMIF(Wages!$O$2:$P$220,Calc!E46,Wages!$P$2:$P$220)</f>
        <v>0.3</v>
      </c>
      <c r="G46" s="38">
        <f ca="1">SUMIF(Wages!$O$2:$AD$192,Calc!E46,Wages!$AD$2:$AD$192)</f>
        <v>143488.70766335999</v>
      </c>
      <c r="I46">
        <v>2.31</v>
      </c>
      <c r="J46" s="29">
        <f t="shared" ref="J46" ca="1" si="57">+G46/L46</f>
        <v>4.1518723282222219</v>
      </c>
      <c r="L46" s="29">
        <f t="shared" ref="L46" ca="1" si="58">+F46*40*48*60</f>
        <v>34560</v>
      </c>
      <c r="M46" s="39">
        <f t="shared" si="41"/>
        <v>43994.789437395615</v>
      </c>
      <c r="N46" s="39">
        <f t="shared" si="41"/>
        <v>2872.5014119057414</v>
      </c>
      <c r="P46" s="39">
        <f t="shared" ca="1" si="42"/>
        <v>0</v>
      </c>
      <c r="Q46" s="39">
        <f t="shared" ca="1" si="42"/>
        <v>0</v>
      </c>
      <c r="S46" s="39">
        <f t="shared" ca="1" si="55"/>
        <v>16971.5259054128</v>
      </c>
      <c r="T46" s="39">
        <f t="shared" ca="1" si="56"/>
        <v>3855.8403589090913</v>
      </c>
      <c r="W46" s="39">
        <f t="shared" ca="1" si="45"/>
        <v>2463.5555099757335</v>
      </c>
      <c r="Y46" s="39">
        <f t="shared" ref="Y46" ca="1" si="59">+G46</f>
        <v>143488.70766335999</v>
      </c>
      <c r="Z46" s="39">
        <f t="shared" ref="Z46" ca="1" si="60">+M46+P46+S46+V46</f>
        <v>60966.315342808419</v>
      </c>
      <c r="AA46" s="39">
        <f t="shared" ref="AA46" ca="1" si="61">+N46+Q46+T46+W46</f>
        <v>9191.8972807905666</v>
      </c>
      <c r="AC46" s="40">
        <f t="shared" ref="AC46" ca="1" si="62">+Y46/L46</f>
        <v>4.1518723282222219</v>
      </c>
      <c r="AD46" s="40">
        <f t="shared" ref="AD46" ca="1" si="63">+Z46/$L46</f>
        <v>1.7640716245025585</v>
      </c>
      <c r="AE46" s="40">
        <f t="shared" ref="AE46" ca="1" si="64">+AA46/$L46</f>
        <v>0.26596925002287519</v>
      </c>
      <c r="AF46" s="40">
        <f t="shared" ref="AF46" ca="1" si="65">SUM(AC46:AE46)</f>
        <v>6.1819132027476558</v>
      </c>
      <c r="AG46" s="40" t="s">
        <v>378</v>
      </c>
      <c r="AH46" s="192">
        <f t="shared" ca="1" si="53"/>
        <v>0</v>
      </c>
      <c r="AI46" s="40"/>
      <c r="AJ46" s="40">
        <f>VLOOKUP(E46,Syspro!$A$2:$F$91,6,FALSE)</f>
        <v>6.18</v>
      </c>
      <c r="AK46" s="40">
        <v>6.1400000000000006</v>
      </c>
      <c r="AL46" s="40">
        <v>6.0383443708609272</v>
      </c>
      <c r="AM46" s="40">
        <v>5.75</v>
      </c>
      <c r="AN46" s="40">
        <v>4.45</v>
      </c>
      <c r="AO46" s="40">
        <v>4.34</v>
      </c>
      <c r="AP46" s="40">
        <v>4.339707875625459</v>
      </c>
      <c r="AQ46" s="40">
        <v>4.22</v>
      </c>
      <c r="AR46" s="40">
        <v>4.21</v>
      </c>
      <c r="AS46" s="40">
        <v>4.21</v>
      </c>
      <c r="AT46" s="40">
        <v>4.3499999999999996</v>
      </c>
      <c r="AU46" s="40">
        <v>4.26</v>
      </c>
      <c r="AV46" s="40">
        <v>4.2500000000000009</v>
      </c>
      <c r="AW46" s="40">
        <v>4.0201747902261236</v>
      </c>
      <c r="AX46" s="40">
        <v>3.9397243341577486</v>
      </c>
      <c r="AY46">
        <v>3.11</v>
      </c>
      <c r="AZ46">
        <v>2.68</v>
      </c>
      <c r="BB46" s="3">
        <f t="shared" ca="1" si="54"/>
        <v>3.0957973263042896E-4</v>
      </c>
      <c r="BD46" s="40"/>
    </row>
    <row r="47" spans="1:56" x14ac:dyDescent="0.25">
      <c r="A47" s="2" t="s">
        <v>409</v>
      </c>
      <c r="B47" s="2" t="s">
        <v>417</v>
      </c>
      <c r="C47" s="99">
        <f ca="1">SUMIF('Asset Allocation'!$F$1:$I$270,Calc!A47,'Asset Allocation'!I:I)</f>
        <v>0</v>
      </c>
      <c r="D47" s="7">
        <v>20</v>
      </c>
      <c r="E47" s="2" t="s">
        <v>409</v>
      </c>
      <c r="F47" s="43">
        <f ca="1">SUMIF(Wages!$O$2:$P$220,Calc!E47,Wages!$P$2:$P$220)</f>
        <v>1</v>
      </c>
      <c r="G47" s="38">
        <f ca="1">SUMIF(Wages!$O$2:$AD$192,Calc!E47,Wages!$AD$2:$AD$192)</f>
        <v>288041.33926826669</v>
      </c>
      <c r="I47">
        <v>2.31</v>
      </c>
      <c r="J47" s="29">
        <f t="shared" ca="1" si="39"/>
        <v>2.5003588478148151</v>
      </c>
      <c r="L47" s="29">
        <f t="shared" ca="1" si="40"/>
        <v>115200</v>
      </c>
      <c r="M47" s="39">
        <f t="shared" si="41"/>
        <v>21997.394718697808</v>
      </c>
      <c r="N47" s="39">
        <f t="shared" si="41"/>
        <v>1436.2507059528707</v>
      </c>
      <c r="P47" s="39">
        <f t="shared" ca="1" si="42"/>
        <v>0</v>
      </c>
      <c r="Q47" s="39">
        <f t="shared" ca="1" si="42"/>
        <v>0</v>
      </c>
      <c r="S47" s="39">
        <f t="shared" ca="1" si="55"/>
        <v>56571.753018042662</v>
      </c>
      <c r="T47" s="39">
        <f t="shared" ca="1" si="56"/>
        <v>12852.801196363636</v>
      </c>
      <c r="W47" s="39">
        <f t="shared" ca="1" si="45"/>
        <v>8211.8516999191106</v>
      </c>
      <c r="Y47" s="39">
        <f t="shared" ca="1" si="46"/>
        <v>288041.33926826669</v>
      </c>
      <c r="Z47" s="39">
        <f t="shared" ca="1" si="47"/>
        <v>78569.147736740473</v>
      </c>
      <c r="AA47" s="39">
        <f t="shared" ca="1" si="48"/>
        <v>22500.903602235616</v>
      </c>
      <c r="AC47" s="40">
        <f t="shared" ca="1" si="49"/>
        <v>2.5003588478148151</v>
      </c>
      <c r="AD47" s="40">
        <f t="shared" ca="1" si="50"/>
        <v>0.68202385188142767</v>
      </c>
      <c r="AE47" s="40">
        <f t="shared" ca="1" si="50"/>
        <v>0.19532034376940638</v>
      </c>
      <c r="AF47" s="40">
        <f t="shared" ca="1" si="52"/>
        <v>3.3777030434656492</v>
      </c>
      <c r="AG47" s="40" t="s">
        <v>378</v>
      </c>
      <c r="AH47" s="192">
        <f t="shared" ca="1" si="53"/>
        <v>-1.313873401923262E-16</v>
      </c>
      <c r="AI47" s="40"/>
      <c r="AJ47" s="40">
        <f>VLOOKUP(E47,Syspro!$A$2:$F$91,6,FALSE)</f>
        <v>3.3800000000000003</v>
      </c>
      <c r="AK47" s="40">
        <v>3.35</v>
      </c>
      <c r="AL47" s="40">
        <v>3.29</v>
      </c>
      <c r="AM47" s="40">
        <v>3.07</v>
      </c>
      <c r="AN47" s="40">
        <v>2.96</v>
      </c>
      <c r="AO47" s="40">
        <v>2.8899999999999997</v>
      </c>
      <c r="AP47" s="40">
        <v>2.8882452334207933</v>
      </c>
      <c r="AQ47" s="40">
        <v>2.8200000000000003</v>
      </c>
      <c r="AR47" s="40">
        <v>0</v>
      </c>
      <c r="AS47" s="40">
        <v>3.6100000000000003</v>
      </c>
      <c r="AT47" s="40">
        <v>2.5499999999999998</v>
      </c>
      <c r="AU47" s="40">
        <v>2.5099999999999998</v>
      </c>
      <c r="AV47" s="40">
        <v>4.2500000000000009</v>
      </c>
      <c r="AW47" s="40">
        <v>4.0201747902261236</v>
      </c>
      <c r="AX47" s="40">
        <v>3.9397243341577486</v>
      </c>
      <c r="AY47">
        <v>3.11</v>
      </c>
      <c r="AZ47">
        <v>2.68</v>
      </c>
      <c r="BB47" s="3">
        <f t="shared" ca="1" si="54"/>
        <v>-6.7957293915714065E-4</v>
      </c>
      <c r="BD47" s="40"/>
    </row>
    <row r="48" spans="1:56" x14ac:dyDescent="0.25">
      <c r="A48" s="7"/>
      <c r="B48" s="25" t="s">
        <v>845</v>
      </c>
      <c r="C48" s="100">
        <f ca="1">SUM(C40:C47)</f>
        <v>654673.44000000006</v>
      </c>
      <c r="D48" s="7">
        <f>SUM(D40:D47)</f>
        <v>455</v>
      </c>
      <c r="E48" s="7"/>
      <c r="F48" s="43">
        <f ca="1">SUM(F40:F47)</f>
        <v>10</v>
      </c>
      <c r="G48" s="38"/>
      <c r="L48" s="29">
        <f ca="1">SUM(L40:L47)</f>
        <v>1152000</v>
      </c>
      <c r="AB48" t="s">
        <v>378</v>
      </c>
      <c r="AX48" s="40"/>
    </row>
    <row r="49" spans="1:56" ht="23.25" x14ac:dyDescent="0.35">
      <c r="A49" s="21" t="s">
        <v>384</v>
      </c>
      <c r="B49" s="22" t="s">
        <v>367</v>
      </c>
      <c r="C49" s="97"/>
      <c r="D49" s="7"/>
      <c r="E49" s="21" t="s">
        <v>384</v>
      </c>
      <c r="F49" s="43"/>
      <c r="G49" s="38"/>
      <c r="M49" s="59">
        <f>HLOOKUP($B$51,Overhead!$M:$M,M$1,FALSE)</f>
        <v>211467.75964996731</v>
      </c>
      <c r="N49" s="59">
        <f>HLOOKUP($B$51,Overhead!$M:$M,N$1,FALSE)</f>
        <v>13807.09270909091</v>
      </c>
      <c r="P49" s="59">
        <f>HLOOKUP($B$51,Overhead!$M:$M,P$1,FALSE)</f>
        <v>130243.37890909091</v>
      </c>
      <c r="Q49" s="59">
        <f>HLOOKUP($B$51,Overhead!$M:$M,Q$1,FALSE)</f>
        <v>54101.022447160831</v>
      </c>
      <c r="S49" s="59">
        <f>HLOOKUP($B$51,Overhead!$M:$M,S$1,FALSE)</f>
        <v>486795.39938042662</v>
      </c>
      <c r="T49" s="59">
        <f>HLOOKUP($B$51,Overhead!$M:$M,T$1,FALSE)</f>
        <v>111177.46756363635</v>
      </c>
      <c r="W49" s="59">
        <f ca="1">HLOOKUP($B$51,Overhead!$M:$M,W$1,FALSE)</f>
        <v>65694.813599352899</v>
      </c>
      <c r="X49" s="59"/>
      <c r="Y49" s="59">
        <f ca="1">SUM(Y50)</f>
        <v>3310056.9156693337</v>
      </c>
      <c r="Z49" s="59">
        <f t="shared" ref="Z49:AA49" ca="1" si="66">SUM(Z50)</f>
        <v>828506.53793948481</v>
      </c>
      <c r="AA49" s="59">
        <f t="shared" ca="1" si="66"/>
        <v>245301.64025179594</v>
      </c>
      <c r="AX49" s="40"/>
    </row>
    <row r="50" spans="1:56" x14ac:dyDescent="0.25">
      <c r="A50" s="1" t="s">
        <v>424</v>
      </c>
      <c r="B50" s="1" t="s">
        <v>384</v>
      </c>
      <c r="C50" s="99">
        <f ca="1">SUMIF('Asset Allocation'!$F$2:$I$269,Calc!$A50,'Asset Allocation'!$I$2:$I$269)</f>
        <v>951672.94000000006</v>
      </c>
      <c r="D50" s="7">
        <v>348</v>
      </c>
      <c r="E50" s="1" t="s">
        <v>424</v>
      </c>
      <c r="F50" s="43">
        <f ca="1">SUMIF(Wages!$O$2:$P$220,Calc!E50,Wages!$P$2:$P$220)</f>
        <v>8</v>
      </c>
      <c r="G50" s="38">
        <f ca="1">SUMIF(Wages!$O$2:$AD$192,Calc!E50,Wages!$AD$2:$AD$192)</f>
        <v>3310056.9156693337</v>
      </c>
      <c r="I50">
        <v>2.17</v>
      </c>
      <c r="J50" s="29">
        <f ca="1">+G50/L50</f>
        <v>3.591641618564815</v>
      </c>
      <c r="L50" s="29">
        <f ca="1">+F50*40*48*60</f>
        <v>921600</v>
      </c>
      <c r="M50" s="39">
        <f>+$D51/$D$50*M$49</f>
        <v>211467.75964996731</v>
      </c>
      <c r="N50" s="39">
        <f>+$D51/$D$50*N$49</f>
        <v>13807.09270909091</v>
      </c>
      <c r="P50" s="39">
        <f ca="1">+$C51/$C$50*P$49</f>
        <v>130243.37890909091</v>
      </c>
      <c r="Q50" s="39">
        <f ca="1">+$C51/$C$50*Q$49</f>
        <v>54101.022447160831</v>
      </c>
      <c r="S50" s="39">
        <f ca="1">+$S$49*L50/$L$51</f>
        <v>486795.39938042662</v>
      </c>
      <c r="T50" s="39">
        <f ca="1">+$S$49*M50/$L$51</f>
        <v>111698.7114961913</v>
      </c>
      <c r="W50" s="39">
        <f ca="1">+$F51/$F$50*W$49</f>
        <v>65694.813599352899</v>
      </c>
      <c r="Y50" s="39">
        <f ca="1">+G50</f>
        <v>3310056.9156693337</v>
      </c>
      <c r="Z50" s="39">
        <f ca="1">+M50+P50+S50+V50</f>
        <v>828506.53793948481</v>
      </c>
      <c r="AA50" s="39">
        <f ca="1">+N50+Q50+T50+W50</f>
        <v>245301.64025179594</v>
      </c>
      <c r="AC50" s="40">
        <f ca="1">+Y50/L50</f>
        <v>3.591641618564815</v>
      </c>
      <c r="AD50" s="40">
        <f ca="1">+Z50/$L50</f>
        <v>0.89898712884058685</v>
      </c>
      <c r="AE50" s="40">
        <f ca="1">+AA50/$L50</f>
        <v>0.26616931450932718</v>
      </c>
      <c r="AF50" s="40">
        <f ca="1">SUM(AC50:AE50)</f>
        <v>4.7567980619147292</v>
      </c>
      <c r="AG50" s="40" t="s">
        <v>378</v>
      </c>
      <c r="AH50" s="192">
        <f ca="1">+(AF50-AJ50)/AJ50</f>
        <v>-6.7267606833415624E-4</v>
      </c>
      <c r="AI50" s="40"/>
      <c r="AJ50" s="40">
        <f>VLOOKUP(E50,Syspro!$A$2:$F$91,6,FALSE)</f>
        <v>4.76</v>
      </c>
      <c r="AK50" s="40">
        <v>4.629999999999999</v>
      </c>
      <c r="AL50" s="40">
        <v>4.5609836311844614</v>
      </c>
      <c r="AM50" s="40">
        <v>4.29</v>
      </c>
      <c r="AN50" s="40">
        <v>4.1900000000000004</v>
      </c>
      <c r="AO50" s="40">
        <v>3.8299999999999996</v>
      </c>
      <c r="AP50" s="40">
        <v>3.8296129565892048</v>
      </c>
      <c r="AQ50" s="40">
        <v>3.9499999999999997</v>
      </c>
      <c r="AR50" s="40">
        <v>3.6599999999999997</v>
      </c>
      <c r="AS50" s="40">
        <v>3.6599999999999997</v>
      </c>
      <c r="AT50" s="40">
        <v>3.6999999999999997</v>
      </c>
      <c r="AU50" s="40">
        <v>3.6199999999999997</v>
      </c>
      <c r="AV50" s="40">
        <v>5.95</v>
      </c>
      <c r="AW50" s="40">
        <v>5.6135438437440222</v>
      </c>
      <c r="AX50" s="40">
        <v>5.2458174054648934</v>
      </c>
      <c r="AY50">
        <v>3.75</v>
      </c>
      <c r="AZ50">
        <v>2.76</v>
      </c>
      <c r="BB50" s="3">
        <f ca="1">(+AF50-AJ50)/AJ50</f>
        <v>-6.7267606833415624E-4</v>
      </c>
      <c r="BD50" s="40"/>
    </row>
    <row r="51" spans="1:56" x14ac:dyDescent="0.25">
      <c r="A51" s="1"/>
      <c r="B51" s="25" t="s">
        <v>384</v>
      </c>
      <c r="C51" s="137">
        <f ca="1">SUM(C50)</f>
        <v>951672.94000000006</v>
      </c>
      <c r="D51" s="7">
        <f>SUM(D50)</f>
        <v>348</v>
      </c>
      <c r="E51" s="1"/>
      <c r="F51" s="43">
        <f ca="1">SUM(F50)</f>
        <v>8</v>
      </c>
      <c r="G51" s="38"/>
      <c r="L51" s="29">
        <f ca="1">SUM(L50)</f>
        <v>921600</v>
      </c>
      <c r="AX51" s="40"/>
    </row>
    <row r="52" spans="1:56" x14ac:dyDescent="0.25">
      <c r="A52" s="1"/>
      <c r="B52" s="1"/>
      <c r="C52" s="102"/>
      <c r="D52" s="7"/>
      <c r="E52" s="1"/>
      <c r="F52" s="43"/>
      <c r="G52" s="38"/>
      <c r="M52" s="39"/>
      <c r="N52" s="39"/>
      <c r="AX52" s="40"/>
    </row>
    <row r="53" spans="1:56" x14ac:dyDescent="0.25">
      <c r="A53" s="2" t="s">
        <v>425</v>
      </c>
      <c r="B53" s="2" t="s">
        <v>385</v>
      </c>
      <c r="C53" s="99">
        <f ca="1">SUMIF('Asset Allocation'!$F$1:$I$270,Calc!A53,'Asset Allocation'!I:I)</f>
        <v>0</v>
      </c>
      <c r="D53" s="7">
        <v>0</v>
      </c>
      <c r="E53" s="2" t="s">
        <v>425</v>
      </c>
      <c r="F53" s="43">
        <f ca="1">SUMIF(Wages!$O$2:$P$190,Calc!E53,Wages!$P$2:$P$190)</f>
        <v>0</v>
      </c>
      <c r="G53" s="38">
        <f ca="1">SUMIF(Wages!$O$2:$AD$192,Calc!E53,Wages!$AD$2:$AD$192)</f>
        <v>0</v>
      </c>
      <c r="M53" s="39"/>
      <c r="N53" s="39"/>
      <c r="S53" s="39"/>
      <c r="Y53" s="39"/>
      <c r="Z53" s="39"/>
      <c r="AA53" s="39"/>
      <c r="AC53" s="40"/>
      <c r="AD53" s="40"/>
      <c r="AE53" s="40"/>
      <c r="AF53" s="40"/>
      <c r="AG53" s="40"/>
      <c r="AH53" s="173"/>
      <c r="AI53" s="40"/>
      <c r="AJ53" s="40">
        <v>0</v>
      </c>
      <c r="AK53" s="40">
        <v>0</v>
      </c>
      <c r="AL53" s="40"/>
      <c r="AM53" s="40">
        <v>0</v>
      </c>
      <c r="AN53" s="40">
        <v>0</v>
      </c>
      <c r="AO53" s="40">
        <v>0</v>
      </c>
      <c r="AP53" s="40"/>
      <c r="AQ53" s="40">
        <v>0</v>
      </c>
      <c r="AR53" s="40">
        <v>0</v>
      </c>
      <c r="AS53" s="40">
        <v>0</v>
      </c>
      <c r="AT53" s="40">
        <v>0</v>
      </c>
      <c r="AU53" s="40">
        <v>0</v>
      </c>
      <c r="AV53" s="40">
        <v>4.42</v>
      </c>
      <c r="AW53" s="40">
        <v>4.1720919165869921</v>
      </c>
      <c r="AX53" s="40">
        <v>3.9828268174799093</v>
      </c>
      <c r="AY53">
        <v>3.75</v>
      </c>
      <c r="AZ53">
        <v>2.76</v>
      </c>
      <c r="BB53" s="3" t="e">
        <f>(+AF53-AJ53)/AJ53</f>
        <v>#DIV/0!</v>
      </c>
      <c r="BD53" s="40"/>
    </row>
    <row r="54" spans="1:56" x14ac:dyDescent="0.25">
      <c r="A54" s="7"/>
      <c r="B54" s="25" t="s">
        <v>453</v>
      </c>
      <c r="C54" s="100">
        <f ca="1">SUM(C53)</f>
        <v>0</v>
      </c>
      <c r="D54" s="7">
        <f>+D53</f>
        <v>0</v>
      </c>
      <c r="E54" s="7"/>
      <c r="F54" s="43"/>
      <c r="G54" s="38"/>
      <c r="AX54" s="40"/>
    </row>
    <row r="55" spans="1:56" x14ac:dyDescent="0.25">
      <c r="A55" s="7"/>
      <c r="B55" s="7"/>
      <c r="C55" s="38"/>
      <c r="D55" s="7"/>
      <c r="E55" s="7"/>
      <c r="F55" s="43"/>
      <c r="G55" s="38"/>
      <c r="AX55" s="40"/>
    </row>
    <row r="56" spans="1:56" ht="23.25" x14ac:dyDescent="0.35">
      <c r="A56" s="21" t="s">
        <v>472</v>
      </c>
      <c r="B56" s="7"/>
      <c r="C56" s="38"/>
      <c r="D56" s="7"/>
      <c r="E56" s="21" t="s">
        <v>472</v>
      </c>
      <c r="F56" s="43"/>
      <c r="G56" s="38"/>
      <c r="AX56" s="40"/>
    </row>
    <row r="57" spans="1:56" x14ac:dyDescent="0.25">
      <c r="A57" s="22"/>
      <c r="B57" s="22" t="s">
        <v>367</v>
      </c>
      <c r="C57" s="97"/>
      <c r="D57" s="22"/>
      <c r="E57" s="22"/>
      <c r="F57" s="43"/>
      <c r="G57" s="38"/>
      <c r="M57" s="59">
        <f>HLOOKUP($B$61,Overhead!$K:$K,M$1,FALSE)</f>
        <v>362653.02220514754</v>
      </c>
      <c r="N57" s="59">
        <f>HLOOKUP($B$61,Overhead!$K:$K,N$1,FALSE)</f>
        <v>23678.226863101605</v>
      </c>
      <c r="P57" s="59">
        <f>HLOOKUP($B$61,Overhead!$K:$K,P$1,FALSE)</f>
        <v>119389.76400000001</v>
      </c>
      <c r="Q57" s="59">
        <f>HLOOKUP($B$61,Overhead!$K:$K,Q$1,FALSE)</f>
        <v>137660.9352769898</v>
      </c>
      <c r="S57" s="59">
        <f>HLOOKUP($B$61,Overhead!$K:$K,S$1,FALSE)</f>
        <v>443673.81939253333</v>
      </c>
      <c r="T57" s="59">
        <f>HLOOKUP($B$61,Overhead!$K:$K,T$1,FALSE)</f>
        <v>641712.1385454546</v>
      </c>
      <c r="W57" s="59">
        <f ca="1">HLOOKUP($B$61,Overhead!$K:$K,W$1,FALSE)</f>
        <v>90330.368699110229</v>
      </c>
      <c r="Y57" s="59">
        <f ca="1">SUM(Y58:Y60)</f>
        <v>2795898.9758538669</v>
      </c>
      <c r="Z57" s="59">
        <f t="shared" ref="Z57:AA60" si="67">+M57+P57+S57+V57</f>
        <v>925716.6055976809</v>
      </c>
      <c r="AA57" s="59">
        <f t="shared" ca="1" si="67"/>
        <v>893381.66938465624</v>
      </c>
      <c r="AC57" s="40"/>
      <c r="AD57" s="40"/>
      <c r="AE57" s="40"/>
      <c r="AF57" s="40"/>
      <c r="AG57" s="40"/>
      <c r="AH57" s="173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</row>
    <row r="58" spans="1:56" x14ac:dyDescent="0.25">
      <c r="A58" s="1" t="s">
        <v>441</v>
      </c>
      <c r="B58" s="1" t="s">
        <v>401</v>
      </c>
      <c r="C58" s="99">
        <f ca="1">SUMIF('Asset Allocation'!$F$1:$I$270,Calc!A58,'Asset Allocation'!I:I)</f>
        <v>90418.53</v>
      </c>
      <c r="D58" s="7">
        <v>60</v>
      </c>
      <c r="E58" s="1" t="s">
        <v>441</v>
      </c>
      <c r="F58" s="43">
        <f ca="1">SUMIF(Wages!$O$2:$P$220,Calc!E58,Wages!$P$2:$P$220)</f>
        <v>2</v>
      </c>
      <c r="G58" s="38">
        <f ca="1">SUMIF(Wages!$O$2:$AD$192,Calc!E58,Wages!$AD$2:$AD$192)</f>
        <v>508753.44289706665</v>
      </c>
      <c r="J58" s="29">
        <f ca="1">+G58/L58</f>
        <v>4.4162625251481478</v>
      </c>
      <c r="L58" s="29">
        <f>40*48*60</f>
        <v>115200</v>
      </c>
      <c r="M58" s="39">
        <f>+$D58/$D$61*M$57</f>
        <v>40294.780245016394</v>
      </c>
      <c r="N58" s="39">
        <f t="shared" ref="M58:N63" si="68">+$D58/$D$61*N$57</f>
        <v>2630.9140959001784</v>
      </c>
      <c r="P58" s="39">
        <f t="shared" ref="P58:Q63" ca="1" si="69">+P$57*$C58/$C$61</f>
        <v>4457.9128310276683</v>
      </c>
      <c r="Q58" s="39">
        <f t="shared" ca="1" si="69"/>
        <v>5140.1429162935801</v>
      </c>
      <c r="W58" s="39">
        <f ca="1">+$W$57*F58/$F$61</f>
        <v>16423.703399838225</v>
      </c>
      <c r="Y58" s="39">
        <f ca="1">+G58</f>
        <v>508753.44289706665</v>
      </c>
      <c r="Z58" s="39">
        <f t="shared" ca="1" si="67"/>
        <v>44752.693076044059</v>
      </c>
      <c r="AA58" s="39">
        <f t="shared" ca="1" si="67"/>
        <v>24194.760412031981</v>
      </c>
      <c r="AC58" s="40">
        <f ca="1">+Y58/L58</f>
        <v>4.4162625251481478</v>
      </c>
      <c r="AD58" s="40">
        <f t="shared" ref="AD58:AE60" ca="1" si="70">+Z58/$L58</f>
        <v>0.38847823850732688</v>
      </c>
      <c r="AE58" s="40">
        <f t="shared" ca="1" si="70"/>
        <v>0.21002396190999983</v>
      </c>
      <c r="AF58" s="40">
        <f ca="1">SUM(AC58:AE58)</f>
        <v>5.0147647255654748</v>
      </c>
      <c r="AG58" s="40" t="s">
        <v>378</v>
      </c>
      <c r="AH58" s="192">
        <f ca="1">+(AF58-AJ58)/AJ58</f>
        <v>-1.0428833534909885E-3</v>
      </c>
      <c r="AI58" s="40"/>
      <c r="AJ58" s="40">
        <f>VLOOKUP(E58,Syspro!$A$2:$F$91,6,FALSE)</f>
        <v>5.0199999999999996</v>
      </c>
      <c r="AK58" s="40">
        <v>5.0199999999999996</v>
      </c>
      <c r="AL58" s="40">
        <v>4.9001013398777271</v>
      </c>
      <c r="AM58" s="40">
        <v>4.59</v>
      </c>
      <c r="AN58" s="40">
        <v>4.38</v>
      </c>
      <c r="AO58" s="40">
        <v>4.2699999999999996</v>
      </c>
      <c r="AP58" s="40">
        <v>4.2690818975088662</v>
      </c>
      <c r="AQ58" s="40">
        <v>4.0600000000000005</v>
      </c>
      <c r="AR58" s="40">
        <v>3.0500000000000003</v>
      </c>
      <c r="AS58" s="40">
        <v>3.0500000000000003</v>
      </c>
      <c r="AT58" s="40">
        <v>3.0100000000000002</v>
      </c>
      <c r="AU58" s="40">
        <v>2.9400000000000004</v>
      </c>
      <c r="AV58" s="40">
        <v>4.08</v>
      </c>
      <c r="AW58" s="40">
        <v>3.8907142680481059</v>
      </c>
      <c r="AX58" s="40">
        <v>4.0201843453965775</v>
      </c>
      <c r="AY58">
        <v>34.090000000000003</v>
      </c>
      <c r="AZ58">
        <v>26.76</v>
      </c>
      <c r="BB58" s="3">
        <f ca="1">(+AF58-AJ58)/AJ58</f>
        <v>-1.0428833534909885E-3</v>
      </c>
      <c r="BD58" s="40"/>
    </row>
    <row r="59" spans="1:56" x14ac:dyDescent="0.25">
      <c r="A59" s="2" t="s">
        <v>440</v>
      </c>
      <c r="B59" s="2" t="s">
        <v>402</v>
      </c>
      <c r="C59" s="99">
        <f ca="1">SUMIF('Asset Allocation'!$F$1:$I$270,Calc!A59,'Asset Allocation'!I:I)</f>
        <v>2268466.85</v>
      </c>
      <c r="D59" s="7">
        <v>451</v>
      </c>
      <c r="E59" s="2" t="s">
        <v>440</v>
      </c>
      <c r="F59" s="43">
        <f ca="1">SUMIF(Wages!$O$2:$P$220,Calc!E59,Wages!$P$2:$P$220)</f>
        <v>8</v>
      </c>
      <c r="G59" s="38">
        <f ca="1">SUMIF(Wages!$O$2:$AD$192,Calc!E59,Wages!$AD$2:$AD$192)</f>
        <v>2107815.4936064002</v>
      </c>
      <c r="I59">
        <v>10.25</v>
      </c>
      <c r="J59" s="29">
        <f ca="1">+G59/L59</f>
        <v>18.297009493111112</v>
      </c>
      <c r="L59" s="29">
        <f>40*48*60</f>
        <v>115200</v>
      </c>
      <c r="M59" s="39">
        <f t="shared" si="68"/>
        <v>302882.43150837324</v>
      </c>
      <c r="N59" s="39">
        <f t="shared" si="68"/>
        <v>19775.704287516339</v>
      </c>
      <c r="P59" s="39">
        <f t="shared" ca="1" si="69"/>
        <v>111842.4229787403</v>
      </c>
      <c r="Q59" s="39">
        <f t="shared" ca="1" si="69"/>
        <v>128958.56424423524</v>
      </c>
      <c r="S59" s="39">
        <f>+S57</f>
        <v>443673.81939253333</v>
      </c>
      <c r="T59" s="39">
        <f>+T57</f>
        <v>641712.1385454546</v>
      </c>
      <c r="W59" s="39">
        <f ca="1">+$W$57*F59/$F$61</f>
        <v>65694.813599352899</v>
      </c>
      <c r="Y59" s="39">
        <f ca="1">+G59</f>
        <v>2107815.4936064002</v>
      </c>
      <c r="Z59" s="39">
        <f t="shared" ca="1" si="67"/>
        <v>858398.67387964693</v>
      </c>
      <c r="AA59" s="39">
        <f t="shared" ca="1" si="67"/>
        <v>856141.22067655902</v>
      </c>
      <c r="AC59" s="40">
        <f ca="1">+Y59/L59</f>
        <v>18.297009493111112</v>
      </c>
      <c r="AD59" s="40">
        <f t="shared" ca="1" si="70"/>
        <v>7.451377377427491</v>
      </c>
      <c r="AE59" s="40">
        <f t="shared" ca="1" si="70"/>
        <v>7.431781429484019</v>
      </c>
      <c r="AF59" s="40">
        <f ca="1">SUM(AC59:AE59)</f>
        <v>33.180168300022622</v>
      </c>
      <c r="AG59" s="40" t="s">
        <v>378</v>
      </c>
      <c r="AH59" s="192">
        <f ca="1">+(AF59-AJ59)/AJ59</f>
        <v>5.0723334123643014E-6</v>
      </c>
      <c r="AI59" s="40"/>
      <c r="AJ59" s="40">
        <f>VLOOKUP(E59,Syspro!$A$2:$F$91,6,FALSE)</f>
        <v>33.18</v>
      </c>
      <c r="AK59" s="40">
        <v>32.67</v>
      </c>
      <c r="AL59" s="40">
        <v>29.47999936888996</v>
      </c>
      <c r="AM59" s="40">
        <v>23.38</v>
      </c>
      <c r="AN59" s="40">
        <v>21.29</v>
      </c>
      <c r="AO59" s="40">
        <v>20.95</v>
      </c>
      <c r="AP59" s="40">
        <v>20.948739583765736</v>
      </c>
      <c r="AQ59" s="40">
        <v>21</v>
      </c>
      <c r="AR59" s="40">
        <v>21.439999999999998</v>
      </c>
      <c r="AS59" s="40">
        <v>21.439999999999998</v>
      </c>
      <c r="AT59" s="40">
        <v>23.189999999999998</v>
      </c>
      <c r="AU59" s="40">
        <v>22.2</v>
      </c>
      <c r="AV59" s="40">
        <v>21.959999999999997</v>
      </c>
      <c r="AW59" s="40">
        <v>19.829144845074765</v>
      </c>
      <c r="AX59" s="40">
        <v>22.687406978201494</v>
      </c>
      <c r="AY59">
        <v>34.090000000000003</v>
      </c>
      <c r="AZ59">
        <v>26.76</v>
      </c>
      <c r="BB59" s="3">
        <f ca="1">(+AF59-AJ59)/AJ59</f>
        <v>5.0723334123643014E-6</v>
      </c>
      <c r="BD59" s="40"/>
    </row>
    <row r="60" spans="1:56" x14ac:dyDescent="0.25">
      <c r="A60" s="1" t="s">
        <v>438</v>
      </c>
      <c r="B60" s="1" t="s">
        <v>400</v>
      </c>
      <c r="C60" s="99">
        <f ca="1">SUMIF('Asset Allocation'!$F$1:$I$270,Calc!A60,'Asset Allocation'!I:I)</f>
        <v>62661.96</v>
      </c>
      <c r="D60" s="7">
        <v>29</v>
      </c>
      <c r="E60" s="1" t="s">
        <v>438</v>
      </c>
      <c r="F60" s="43">
        <f ca="1">SUMIF(Wages!$O$2:$P$220,Calc!E60,Wages!$P$2:$P$220)</f>
        <v>1</v>
      </c>
      <c r="G60" s="38">
        <f ca="1">SUMIF(Wages!$O$2:$AD$192,Calc!E60,Wages!$AD$2:$AD$192)</f>
        <v>179330.03935040007</v>
      </c>
      <c r="J60" s="29">
        <f ca="1">+G60/L60</f>
        <v>1.5566843693611117</v>
      </c>
      <c r="L60" s="29">
        <f>40*48*60</f>
        <v>115200</v>
      </c>
      <c r="M60" s="39">
        <f t="shared" si="68"/>
        <v>19475.810451757923</v>
      </c>
      <c r="N60" s="39">
        <f t="shared" si="68"/>
        <v>1271.6084796850862</v>
      </c>
      <c r="P60" s="39">
        <f t="shared" ca="1" si="69"/>
        <v>3089.4281902320527</v>
      </c>
      <c r="Q60" s="39">
        <f t="shared" ca="1" si="69"/>
        <v>3562.2281164609917</v>
      </c>
      <c r="W60" s="39">
        <f ca="1">+$W$57*F60/$F$61</f>
        <v>8211.8516999191124</v>
      </c>
      <c r="Y60" s="39">
        <f ca="1">+G60</f>
        <v>179330.03935040007</v>
      </c>
      <c r="Z60" s="39">
        <f t="shared" ca="1" si="67"/>
        <v>22565.238641989978</v>
      </c>
      <c r="AA60" s="39">
        <f t="shared" ca="1" si="67"/>
        <v>13045.688296065189</v>
      </c>
      <c r="AC60" s="40">
        <f ca="1">+Y60/L60</f>
        <v>1.5566843693611117</v>
      </c>
      <c r="AD60" s="40">
        <f t="shared" ca="1" si="70"/>
        <v>0.195878807656163</v>
      </c>
      <c r="AE60" s="40">
        <f t="shared" ca="1" si="70"/>
        <v>0.11324382201445476</v>
      </c>
      <c r="AF60" s="40">
        <f ca="1">SUM(AC60:AE60)</f>
        <v>1.8658069990317294</v>
      </c>
      <c r="AG60" s="40" t="s">
        <v>378</v>
      </c>
      <c r="AH60" s="192">
        <f ca="1">+(AF60-AJ60)/AJ60</f>
        <v>-2.2422465070966245E-3</v>
      </c>
      <c r="AI60" s="40"/>
      <c r="AJ60" s="40">
        <f>VLOOKUP(E60,Syspro!$A$2:$F$91,6,FALSE)</f>
        <v>1.87</v>
      </c>
      <c r="AK60" s="40">
        <v>1.87</v>
      </c>
      <c r="AL60" s="40">
        <v>1.8093084187827058</v>
      </c>
      <c r="AM60" s="40">
        <v>1.72</v>
      </c>
      <c r="AN60" s="40">
        <v>1.6300000000000001</v>
      </c>
      <c r="AO60" s="40">
        <v>1.7</v>
      </c>
      <c r="AP60" s="40">
        <v>1.6975675112756918</v>
      </c>
      <c r="AQ60" s="40">
        <v>1.65</v>
      </c>
      <c r="AR60" s="40">
        <v>1.59</v>
      </c>
      <c r="AS60" s="40">
        <v>1.59</v>
      </c>
      <c r="AT60" s="40">
        <v>1.58</v>
      </c>
      <c r="AU60" s="40">
        <v>1.54</v>
      </c>
      <c r="AV60" s="40">
        <v>1.59</v>
      </c>
      <c r="AW60" s="40">
        <v>1.4883672294069588</v>
      </c>
      <c r="AX60" s="40">
        <v>1.4024573746189435</v>
      </c>
      <c r="AY60">
        <v>34.090000000000003</v>
      </c>
      <c r="AZ60">
        <v>26.76</v>
      </c>
      <c r="BB60" s="3">
        <f ca="1">(+AF60-AJ60)/AJ60</f>
        <v>-2.2422465070966245E-3</v>
      </c>
      <c r="BD60" s="40"/>
    </row>
    <row r="61" spans="1:56" x14ac:dyDescent="0.25">
      <c r="A61" s="7"/>
      <c r="B61" s="25" t="s">
        <v>472</v>
      </c>
      <c r="C61" s="100">
        <f ca="1">SUM(C58:C60)</f>
        <v>2421547.34</v>
      </c>
      <c r="D61" s="7">
        <f>SUM(D58:D60)</f>
        <v>540</v>
      </c>
      <c r="E61" s="7"/>
      <c r="F61" s="43">
        <f ca="1">SUM(F58:F60)</f>
        <v>11</v>
      </c>
      <c r="G61" s="38"/>
      <c r="L61" s="29">
        <f>SUM(L58:L60)</f>
        <v>345600</v>
      </c>
      <c r="AB61" t="s">
        <v>378</v>
      </c>
      <c r="AC61" s="189"/>
      <c r="AX61" s="40"/>
    </row>
    <row r="62" spans="1:56" x14ac:dyDescent="0.25">
      <c r="A62" s="7"/>
      <c r="B62" s="25"/>
      <c r="C62" s="100"/>
      <c r="D62" s="7"/>
      <c r="E62" s="7"/>
      <c r="F62" s="43"/>
      <c r="G62" s="38"/>
      <c r="AX62" s="40"/>
    </row>
    <row r="63" spans="1:56" x14ac:dyDescent="0.25">
      <c r="A63" s="1" t="s">
        <v>615</v>
      </c>
      <c r="B63" s="1" t="s">
        <v>1090</v>
      </c>
      <c r="C63" s="99">
        <f ca="1">SUMIF('Asset Allocation'!$F$1:$I$270,Calc!A63,'Asset Allocation'!I:I)</f>
        <v>0</v>
      </c>
      <c r="D63" s="7">
        <v>0</v>
      </c>
      <c r="E63" s="1" t="s">
        <v>615</v>
      </c>
      <c r="F63" s="43">
        <f ca="1">SUMIF(Wages!$O$2:$P$190,Calc!E63,Wages!$P$2:$P$190)</f>
        <v>1</v>
      </c>
      <c r="G63" s="38">
        <f ca="1">SUMIF(Wages!$O$2:$AD$192,Calc!E63,Wages!$AD$2:$AD$192)</f>
        <v>179330.03935040007</v>
      </c>
      <c r="J63" s="29">
        <f ca="1">+G63/L63</f>
        <v>1.5566843693611117</v>
      </c>
      <c r="L63" s="29">
        <f>40*48*60</f>
        <v>115200</v>
      </c>
      <c r="M63" s="39">
        <f t="shared" si="68"/>
        <v>0</v>
      </c>
      <c r="N63" s="39">
        <f t="shared" si="68"/>
        <v>0</v>
      </c>
      <c r="P63" s="39">
        <f t="shared" ca="1" si="69"/>
        <v>0</v>
      </c>
      <c r="Q63" s="39">
        <f t="shared" ca="1" si="69"/>
        <v>0</v>
      </c>
      <c r="W63" s="39">
        <f ca="1">+$W$57*F63/$F$61</f>
        <v>8211.8516999191124</v>
      </c>
      <c r="Y63" s="39">
        <f ca="1">+G63</f>
        <v>179330.03935040007</v>
      </c>
      <c r="Z63" s="39">
        <f t="shared" ref="Z63" ca="1" si="71">+M63+P63+S63+V63</f>
        <v>0</v>
      </c>
      <c r="AA63" s="39">
        <f t="shared" ref="AA63" ca="1" si="72">+N63+Q63+T63+W63</f>
        <v>8211.8516999191124</v>
      </c>
      <c r="AC63" s="40">
        <f ca="1">+Y63/L63</f>
        <v>1.5566843693611117</v>
      </c>
      <c r="AD63" s="40">
        <f t="shared" ref="AD63" ca="1" si="73">+Z63/$L63</f>
        <v>0</v>
      </c>
      <c r="AE63" s="40">
        <f t="shared" ref="AE63" ca="1" si="74">+AA63/$L63</f>
        <v>7.1283434895131184E-2</v>
      </c>
      <c r="AF63" s="40">
        <f ca="1">SUM(AC63:AE63)</f>
        <v>1.6279678042562429</v>
      </c>
      <c r="AG63" s="40" t="s">
        <v>378</v>
      </c>
      <c r="AH63" s="192">
        <f ca="1">+(AF63-AJ63)/AJ63</f>
        <v>-1.2467458550657895E-3</v>
      </c>
      <c r="AI63" s="40"/>
      <c r="AJ63" s="40">
        <f>VLOOKUP(E63,Syspro!$A$2:$F$91,6,FALSE)</f>
        <v>1.6300000000000001</v>
      </c>
      <c r="AK63" s="40">
        <v>1.6300000000000001</v>
      </c>
      <c r="AL63" s="40">
        <v>1.5964527328446161</v>
      </c>
      <c r="AM63" s="40">
        <v>1.51</v>
      </c>
      <c r="AN63" s="40">
        <v>1.4300000000000002</v>
      </c>
      <c r="AO63" s="40">
        <v>1.37</v>
      </c>
      <c r="AP63" s="40">
        <v>1.3661122646944444</v>
      </c>
      <c r="AQ63" s="40">
        <v>1.54</v>
      </c>
      <c r="AR63" s="40">
        <v>1.59</v>
      </c>
      <c r="AS63" s="40">
        <v>1.59</v>
      </c>
      <c r="AT63" s="40">
        <v>1.58</v>
      </c>
      <c r="AU63" s="40">
        <v>1.54</v>
      </c>
      <c r="AV63" s="40">
        <v>1.59</v>
      </c>
      <c r="AW63" s="40">
        <v>1.4883672294069588</v>
      </c>
      <c r="AX63" s="40">
        <v>1.4024573746189435</v>
      </c>
      <c r="AY63">
        <v>34.090000000000003</v>
      </c>
      <c r="AZ63">
        <v>26.76</v>
      </c>
      <c r="BB63" s="3">
        <f ca="1">(+AF63-AJ63)/AJ63</f>
        <v>-1.2467458550657895E-3</v>
      </c>
      <c r="BD63" s="40"/>
    </row>
    <row r="64" spans="1:56" x14ac:dyDescent="0.25">
      <c r="A64" s="1"/>
      <c r="B64" s="1"/>
      <c r="C64" s="102"/>
      <c r="D64" s="7"/>
      <c r="E64" s="1"/>
      <c r="F64" s="43"/>
      <c r="G64" s="38"/>
      <c r="AC64" s="188"/>
      <c r="AX64" s="40"/>
    </row>
    <row r="65" spans="1:56" x14ac:dyDescent="0.25">
      <c r="A65" s="1"/>
      <c r="B65" s="26" t="s">
        <v>366</v>
      </c>
      <c r="C65" s="103"/>
      <c r="D65" s="7"/>
      <c r="E65" s="1"/>
      <c r="F65" s="43"/>
      <c r="G65" s="38"/>
      <c r="M65" s="59"/>
      <c r="N65" s="59"/>
      <c r="P65" s="59"/>
      <c r="Q65" s="59"/>
      <c r="S65" s="59"/>
      <c r="T65" s="59"/>
      <c r="W65" s="59"/>
      <c r="Y65" s="59"/>
      <c r="Z65" s="59"/>
      <c r="AA65" s="59"/>
      <c r="AC65" s="189"/>
      <c r="AX65" s="40"/>
    </row>
    <row r="66" spans="1:56" x14ac:dyDescent="0.25">
      <c r="A66" s="2" t="s">
        <v>437</v>
      </c>
      <c r="B66" s="2" t="s">
        <v>412</v>
      </c>
      <c r="C66" s="99">
        <f ca="1">SUMIF('Asset Allocation'!$F$1:$I$270,Calc!A66,'Asset Allocation'!I:I)</f>
        <v>0</v>
      </c>
      <c r="D66" s="7">
        <v>0</v>
      </c>
      <c r="E66" s="2" t="s">
        <v>437</v>
      </c>
      <c r="F66" s="43">
        <f ca="1">SUMIF(Wages!$O$2:$P$190,Calc!E66,Wages!$P$2:$P$190)</f>
        <v>0</v>
      </c>
      <c r="G66" s="38">
        <f ca="1">SUMIF(Wages!$O$2:$AD$192,Calc!E66,Wages!$AD$2:$AD$192)</f>
        <v>0</v>
      </c>
      <c r="M66" s="39"/>
      <c r="N66" s="39"/>
      <c r="S66" s="39"/>
      <c r="Y66" s="39"/>
      <c r="Z66" s="39"/>
      <c r="AA66" s="39"/>
      <c r="AC66" s="40"/>
      <c r="AD66" s="40"/>
      <c r="AE66" s="40"/>
      <c r="AF66" s="40"/>
      <c r="AG66" s="40"/>
      <c r="AH66" s="173"/>
      <c r="AI66" s="40"/>
      <c r="AJ66" s="40">
        <f>VLOOKUP(E66,Syspro!$A$2:$F$91,6,FALSE)</f>
        <v>0</v>
      </c>
      <c r="AK66" s="40">
        <v>0</v>
      </c>
      <c r="AL66" s="40"/>
      <c r="AM66" s="40">
        <v>0</v>
      </c>
      <c r="AN66" s="40">
        <v>0</v>
      </c>
      <c r="AO66" s="40">
        <v>0</v>
      </c>
      <c r="AP66" s="40"/>
      <c r="AQ66" s="40">
        <v>0</v>
      </c>
      <c r="AR66" s="40">
        <v>0</v>
      </c>
      <c r="AS66" s="40">
        <v>0</v>
      </c>
      <c r="AT66" s="40">
        <v>0</v>
      </c>
      <c r="AU66" s="40">
        <v>0</v>
      </c>
      <c r="AV66" s="40">
        <v>18.57</v>
      </c>
      <c r="AW66" s="40">
        <v>16.934016682203822</v>
      </c>
      <c r="AX66" s="40">
        <v>16.969238301020749</v>
      </c>
      <c r="AY66">
        <v>34.090000000000003</v>
      </c>
      <c r="AZ66">
        <v>26.76</v>
      </c>
      <c r="BB66" s="3">
        <f>(+AF66-AW66)/AW66</f>
        <v>-1</v>
      </c>
      <c r="BD66" s="40"/>
    </row>
    <row r="67" spans="1:56" x14ac:dyDescent="0.25">
      <c r="A67" s="1" t="s">
        <v>439</v>
      </c>
      <c r="B67" s="1" t="s">
        <v>413</v>
      </c>
      <c r="C67" s="99">
        <f ca="1">SUMIF('Asset Allocation'!$F$1:$I$270,Calc!A67,'Asset Allocation'!I:I)</f>
        <v>0</v>
      </c>
      <c r="D67" s="7">
        <v>0</v>
      </c>
      <c r="E67" s="1" t="s">
        <v>439</v>
      </c>
      <c r="F67" s="43">
        <f ca="1">SUMIF(Wages!$O$2:$P$190,Calc!E67,Wages!$P$2:$P$190)</f>
        <v>0</v>
      </c>
      <c r="G67" s="38">
        <f ca="1">SUMIF(Wages!$O$2:$AD$192,Calc!E67,Wages!$AD$2:$AD$192)</f>
        <v>0</v>
      </c>
      <c r="M67" s="39"/>
      <c r="N67" s="39"/>
      <c r="Y67" s="39"/>
      <c r="Z67" s="39"/>
      <c r="AA67" s="39"/>
      <c r="AC67" s="40"/>
      <c r="AD67" s="40"/>
      <c r="AE67" s="40"/>
      <c r="AF67" s="40"/>
      <c r="AG67" s="40"/>
      <c r="AH67" s="173"/>
      <c r="AI67" s="40"/>
      <c r="AJ67" s="40">
        <v>0</v>
      </c>
      <c r="AK67" s="40">
        <v>0</v>
      </c>
      <c r="AL67" s="40"/>
      <c r="AM67" s="40">
        <v>0</v>
      </c>
      <c r="AN67" s="40">
        <v>0</v>
      </c>
      <c r="AO67" s="40">
        <v>0</v>
      </c>
      <c r="AP67" s="40"/>
      <c r="AQ67" s="40">
        <v>0</v>
      </c>
      <c r="AR67" s="40">
        <v>0</v>
      </c>
      <c r="AS67" s="40">
        <v>0</v>
      </c>
      <c r="AT67" s="40">
        <v>0</v>
      </c>
      <c r="AU67" s="40">
        <v>0</v>
      </c>
      <c r="AV67" s="40">
        <v>2.92</v>
      </c>
      <c r="AW67" s="40">
        <v>2.6800508784697938</v>
      </c>
      <c r="AX67" s="40">
        <v>2.5084993297603742</v>
      </c>
      <c r="AY67">
        <v>34.090000000000003</v>
      </c>
      <c r="AZ67">
        <v>26.76</v>
      </c>
      <c r="BB67" s="3">
        <f>(+AF67-AW67)/AW67</f>
        <v>-1</v>
      </c>
      <c r="BD67" s="40"/>
    </row>
    <row r="68" spans="1:56" x14ac:dyDescent="0.25">
      <c r="A68" s="7"/>
      <c r="B68" s="25" t="s">
        <v>453</v>
      </c>
      <c r="C68" s="100"/>
      <c r="D68" s="7"/>
      <c r="E68" s="7"/>
      <c r="F68" s="43">
        <f ca="1">SUM(F66:F67)</f>
        <v>0</v>
      </c>
      <c r="G68" s="38"/>
      <c r="AX68" s="40"/>
    </row>
    <row r="69" spans="1:56" x14ac:dyDescent="0.25">
      <c r="A69" s="7"/>
      <c r="B69" s="25"/>
      <c r="C69" s="100"/>
      <c r="D69" s="7"/>
      <c r="E69" s="7"/>
      <c r="F69" s="43"/>
      <c r="G69" s="38"/>
      <c r="AX69" s="40"/>
    </row>
    <row r="70" spans="1:56" x14ac:dyDescent="0.25">
      <c r="B70" s="25"/>
      <c r="C70" s="99"/>
      <c r="D70" s="7"/>
      <c r="F70" s="43"/>
      <c r="G70" s="38"/>
      <c r="M70" s="39"/>
      <c r="N70" s="39"/>
      <c r="S70" s="39"/>
      <c r="Y70" s="39"/>
      <c r="Z70" s="39"/>
      <c r="AA70" s="39"/>
      <c r="AC70" s="40"/>
      <c r="AD70" s="40"/>
      <c r="AE70" s="40"/>
      <c r="AF70" s="40"/>
      <c r="AG70" s="40"/>
      <c r="AH70" s="173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</row>
    <row r="71" spans="1:56" ht="23.25" x14ac:dyDescent="0.35">
      <c r="A71" s="21" t="s">
        <v>473</v>
      </c>
      <c r="B71" s="146" t="s">
        <v>969</v>
      </c>
      <c r="C71" s="147"/>
      <c r="D71" s="7"/>
      <c r="E71" s="21" t="s">
        <v>473</v>
      </c>
      <c r="F71" s="43"/>
      <c r="G71" s="38"/>
      <c r="M71" s="59">
        <f>HLOOKUP($B$76,Overhead!$L:$L,M$1,FALSE)</f>
        <v>191372.92728503828</v>
      </c>
      <c r="N71" s="59">
        <f>HLOOKUP($B$76,Overhead!$L:$L,N$1,FALSE)</f>
        <v>12495.106524064173</v>
      </c>
      <c r="P71" s="59">
        <f>HLOOKUP($B$76,Overhead!$L:$L,P$1,FALSE)</f>
        <v>217072.29818181822</v>
      </c>
      <c r="Q71" s="59">
        <f>HLOOKUP($B$76,Overhead!$L:$L,Q$1,FALSE)</f>
        <v>219677.81146618025</v>
      </c>
      <c r="S71" s="59">
        <f>HLOOKUP($B$76,Overhead!$L:$L,S$1,FALSE)</f>
        <v>828149.1098294399</v>
      </c>
      <c r="T71" s="59">
        <f>HLOOKUP($B$76,Overhead!$L:$L,T$1,FALSE)</f>
        <v>263692.02730909089</v>
      </c>
      <c r="W71" s="59">
        <f ca="1">HLOOKUP($B$76,Overhead!$L:$L,W$1,FALSE)</f>
        <v>32847.40679967645</v>
      </c>
      <c r="Y71" s="59">
        <f ca="1">SUM(Y73:Y75)</f>
        <v>749517.16312079993</v>
      </c>
      <c r="Z71" s="59">
        <f ca="1">SUM(Z73:Z75)</f>
        <v>978820.40189830097</v>
      </c>
      <c r="AA71" s="59">
        <f ca="1">SUM(AA73:AA75)</f>
        <v>403231.84683795722</v>
      </c>
      <c r="AC71" s="189"/>
      <c r="AD71" s="189"/>
      <c r="AE71" s="189"/>
      <c r="AX71" s="40"/>
    </row>
    <row r="72" spans="1:56" x14ac:dyDescent="0.25">
      <c r="A72" s="7" t="s">
        <v>442</v>
      </c>
      <c r="B72" s="7" t="s">
        <v>405</v>
      </c>
      <c r="C72" s="99">
        <f ca="1">SUMIF('Asset Allocation'!$F$1:$I$270,Calc!A72,'Asset Allocation'!I:I)</f>
        <v>903204.04999999993</v>
      </c>
      <c r="D72" s="7">
        <v>65</v>
      </c>
      <c r="E72" s="7" t="s">
        <v>442</v>
      </c>
      <c r="F72" s="43">
        <v>1</v>
      </c>
      <c r="G72" s="38">
        <f ca="1">SUMIF(Wages!$O$2:$AD$192,Calc!E72,Wages!$AD$2:$AD$192)</f>
        <v>217338.0435656</v>
      </c>
      <c r="I72">
        <v>1.81</v>
      </c>
      <c r="J72" s="29">
        <f ca="1">+G72/L72</f>
        <v>1.8866149615069445</v>
      </c>
      <c r="L72" s="29">
        <f>40*48*60*F72</f>
        <v>115200</v>
      </c>
      <c r="M72" s="39">
        <f t="shared" ref="M72:N75" si="75">+$D72/$D$76*M$71</f>
        <v>63790.975761679423</v>
      </c>
      <c r="N72" s="39">
        <f t="shared" si="75"/>
        <v>4165.0355080213903</v>
      </c>
      <c r="P72" s="39">
        <f t="shared" ref="P72:Q75" ca="1" si="76">+P$71*$C72/$C$76</f>
        <v>50736.655940635392</v>
      </c>
      <c r="Q72" s="39">
        <f t="shared" ca="1" si="76"/>
        <v>51345.646733862763</v>
      </c>
      <c r="S72" s="39">
        <f>+S75</f>
        <v>207037.27745735997</v>
      </c>
      <c r="T72" s="39">
        <f>+T75</f>
        <v>65923.006827272722</v>
      </c>
      <c r="W72" s="39">
        <f ca="1">+W75</f>
        <v>8211.8516999191124</v>
      </c>
      <c r="Y72" s="39">
        <f ca="1">+G72</f>
        <v>217338.0435656</v>
      </c>
      <c r="Z72" s="39">
        <f ca="1">+M72+P72+S72+V72</f>
        <v>321564.90915967477</v>
      </c>
      <c r="AA72" s="39">
        <f ca="1">+N72+Q72+T72+W72</f>
        <v>129645.540769076</v>
      </c>
      <c r="AC72" s="40">
        <f ca="1">+Y72/L72</f>
        <v>1.8866149615069445</v>
      </c>
      <c r="AD72" s="40">
        <f ca="1">+Z72/$L72</f>
        <v>2.7913620586777323</v>
      </c>
      <c r="AE72" s="40">
        <f ca="1">+AA72/$L72</f>
        <v>1.1253953191760069</v>
      </c>
      <c r="AF72" s="40">
        <f ca="1">SUM(AC72:AE72)</f>
        <v>5.803372339360684</v>
      </c>
      <c r="AG72" s="40" t="s">
        <v>378</v>
      </c>
      <c r="AH72" s="192">
        <f ca="1">+(AF72-AJ72)/AJ72</f>
        <v>-1.140733328625755E-3</v>
      </c>
      <c r="AI72" s="40"/>
      <c r="AJ72" s="40">
        <f>VLOOKUP(E72,Syspro!$A$2:$F$91,6,FALSE)</f>
        <v>5.81</v>
      </c>
      <c r="AK72" s="40">
        <v>5.7899999999999991</v>
      </c>
      <c r="AL72" s="40">
        <v>5.0098913313921489</v>
      </c>
      <c r="AM72" s="40">
        <v>4.62</v>
      </c>
      <c r="AN72" s="40">
        <v>4.4799999999999995</v>
      </c>
      <c r="AO72" s="40">
        <v>4.1499999999999995</v>
      </c>
      <c r="AP72" s="40">
        <v>4.1449563120996951</v>
      </c>
      <c r="AQ72" s="40">
        <v>4.82</v>
      </c>
      <c r="AR72" s="40">
        <v>4.75</v>
      </c>
      <c r="AS72" s="40">
        <v>4.75</v>
      </c>
      <c r="AT72" s="40">
        <v>4.9800000000000004</v>
      </c>
      <c r="AU72" s="40">
        <v>4.88</v>
      </c>
      <c r="AV72" s="40">
        <v>4.4799999999999995</v>
      </c>
      <c r="AW72" s="40">
        <v>3.7160622981814102</v>
      </c>
      <c r="AX72" s="40">
        <v>3.8362061583965859</v>
      </c>
      <c r="AY72">
        <v>7.08</v>
      </c>
      <c r="AZ72">
        <v>6.45</v>
      </c>
      <c r="BB72" s="3">
        <f ca="1">(+AF72-AJ72)/AJ72</f>
        <v>-1.140733328625755E-3</v>
      </c>
      <c r="BD72" s="40"/>
    </row>
    <row r="73" spans="1:56" x14ac:dyDescent="0.25">
      <c r="A73" s="7" t="s">
        <v>443</v>
      </c>
      <c r="B73" s="7" t="s">
        <v>403</v>
      </c>
      <c r="C73" s="99">
        <f ca="1">SUMIF('Asset Allocation'!$F$1:$I$270,Calc!A73,'Asset Allocation'!I:I)</f>
        <v>588955.93000000005</v>
      </c>
      <c r="D73" s="7">
        <v>65</v>
      </c>
      <c r="E73" s="7" t="s">
        <v>443</v>
      </c>
      <c r="F73" s="43">
        <v>1</v>
      </c>
      <c r="G73" s="38">
        <f ca="1">SUMIF(Wages!$O$2:$AD$192,Calc!E73,Wages!$AD$2:$AD$192)</f>
        <v>266089.55977759999</v>
      </c>
      <c r="I73">
        <v>1.81</v>
      </c>
      <c r="J73" s="29">
        <f ca="1">+G73/L73</f>
        <v>2.3098052064027779</v>
      </c>
      <c r="L73" s="29">
        <f>40*48*60*F73</f>
        <v>115200</v>
      </c>
      <c r="M73" s="39">
        <f t="shared" si="75"/>
        <v>63790.975761679423</v>
      </c>
      <c r="N73" s="39">
        <f t="shared" si="75"/>
        <v>4165.0355080213903</v>
      </c>
      <c r="P73" s="39">
        <f t="shared" ca="1" si="76"/>
        <v>33084.05712375509</v>
      </c>
      <c r="Q73" s="39">
        <f t="shared" ca="1" si="76"/>
        <v>33481.164221521823</v>
      </c>
      <c r="S73" s="39">
        <f>+S71/4</f>
        <v>207037.27745735997</v>
      </c>
      <c r="T73" s="39">
        <f>+T71/4</f>
        <v>65923.006827272722</v>
      </c>
      <c r="W73" s="39">
        <f ca="1">+W71/4</f>
        <v>8211.8516999191124</v>
      </c>
      <c r="Y73" s="39">
        <f ca="1">+G73</f>
        <v>266089.55977759999</v>
      </c>
      <c r="Z73" s="39">
        <f t="shared" ref="Z73:AA75" ca="1" si="77">+M73+P73+S73+V73</f>
        <v>303912.31034279452</v>
      </c>
      <c r="AA73" s="39">
        <f t="shared" ca="1" si="77"/>
        <v>111781.05825673506</v>
      </c>
      <c r="AC73" s="40">
        <f ca="1">+Y73/L73</f>
        <v>2.3098052064027779</v>
      </c>
      <c r="AD73" s="40">
        <f t="shared" ref="AD73:AE75" ca="1" si="78">+Z73/$L73</f>
        <v>2.6381276939478693</v>
      </c>
      <c r="AE73" s="40">
        <f t="shared" ca="1" si="78"/>
        <v>0.97032168625638082</v>
      </c>
      <c r="AF73" s="40">
        <f ca="1">SUM(AC73:AE73)</f>
        <v>5.918254586607028</v>
      </c>
      <c r="AG73" s="40" t="s">
        <v>378</v>
      </c>
      <c r="AH73" s="192">
        <f ca="1">+(AF73-AJ73)/AJ73</f>
        <v>-2.9483334340742596E-4</v>
      </c>
      <c r="AI73" s="40"/>
      <c r="AJ73" s="40">
        <f>VLOOKUP(E73,Syspro!$A$2:$F$91,6,FALSE)</f>
        <v>5.92</v>
      </c>
      <c r="AK73" s="40">
        <v>5.86</v>
      </c>
      <c r="AL73" s="40">
        <v>5.2690756199414048</v>
      </c>
      <c r="AM73" s="40">
        <v>4.8499999999999996</v>
      </c>
      <c r="AN73" s="40">
        <v>5.78</v>
      </c>
      <c r="AO73" s="40">
        <v>5.45</v>
      </c>
      <c r="AP73" s="40">
        <v>5.4493629484271455</v>
      </c>
      <c r="AQ73" s="40">
        <v>5.83</v>
      </c>
      <c r="AR73" s="40">
        <v>5.6999999999999993</v>
      </c>
      <c r="AS73" s="40">
        <v>5.6999999999999993</v>
      </c>
      <c r="AT73" s="40">
        <v>5.18</v>
      </c>
      <c r="AU73" s="40">
        <v>5.04</v>
      </c>
      <c r="AV73" s="40">
        <v>6.41</v>
      </c>
      <c r="AW73" s="40">
        <v>6.3172088719603074</v>
      </c>
      <c r="AX73" s="40">
        <v>6.3205153589318899</v>
      </c>
      <c r="AY73">
        <v>7.08</v>
      </c>
      <c r="AZ73">
        <v>6.45</v>
      </c>
      <c r="BB73" s="3">
        <f ca="1">(+AF73-AJ73)/AJ73</f>
        <v>-2.9483334340742596E-4</v>
      </c>
      <c r="BD73" s="40"/>
    </row>
    <row r="74" spans="1:56" x14ac:dyDescent="0.25">
      <c r="A74" s="7" t="s">
        <v>444</v>
      </c>
      <c r="B74" s="7" t="s">
        <v>404</v>
      </c>
      <c r="C74" s="99">
        <f ca="1">SUMIF('Asset Allocation'!$F$1:$I$270,Calc!A74,'Asset Allocation'!I:I)</f>
        <v>1665655.9700000002</v>
      </c>
      <c r="D74" s="7">
        <v>65</v>
      </c>
      <c r="E74" s="7" t="s">
        <v>444</v>
      </c>
      <c r="F74" s="43">
        <v>1</v>
      </c>
      <c r="G74" s="38">
        <f ca="1">SUMIF(Wages!$O$2:$AD$192,Calc!E74,Wages!$AD$2:$AD$192)</f>
        <v>266089.55977759999</v>
      </c>
      <c r="I74">
        <v>1.81</v>
      </c>
      <c r="J74" s="29">
        <f ca="1">+G74/L74</f>
        <v>2.3098052064027779</v>
      </c>
      <c r="L74" s="29">
        <f>40*48*60*F74</f>
        <v>115200</v>
      </c>
      <c r="M74" s="39">
        <f t="shared" si="75"/>
        <v>63790.975761679423</v>
      </c>
      <c r="N74" s="39">
        <f t="shared" si="75"/>
        <v>4165.0355080213903</v>
      </c>
      <c r="P74" s="39">
        <f t="shared" ca="1" si="76"/>
        <v>93566.690567159589</v>
      </c>
      <c r="Q74" s="39">
        <f t="shared" ca="1" si="76"/>
        <v>94689.769178702772</v>
      </c>
      <c r="S74" s="39">
        <f t="shared" ref="S74:T75" si="79">+S73</f>
        <v>207037.27745735997</v>
      </c>
      <c r="T74" s="39">
        <f t="shared" si="79"/>
        <v>65923.006827272722</v>
      </c>
      <c r="W74" s="39">
        <f ca="1">+W73</f>
        <v>8211.8516999191124</v>
      </c>
      <c r="Y74" s="39">
        <f ca="1">+G74</f>
        <v>266089.55977759999</v>
      </c>
      <c r="Z74" s="39">
        <f t="shared" ca="1" si="77"/>
        <v>364394.94378619897</v>
      </c>
      <c r="AA74" s="39">
        <f t="shared" ca="1" si="77"/>
        <v>172989.66321391601</v>
      </c>
      <c r="AC74" s="40">
        <f ca="1">+Y74/L74</f>
        <v>2.3098052064027779</v>
      </c>
      <c r="AD74" s="40">
        <f t="shared" ca="1" si="78"/>
        <v>3.1631505536996438</v>
      </c>
      <c r="AE74" s="40">
        <f t="shared" ca="1" si="78"/>
        <v>1.501646382065243</v>
      </c>
      <c r="AF74" s="40">
        <f ca="1">SUM(AC74:AE74)</f>
        <v>6.9746021421676652</v>
      </c>
      <c r="AG74" s="40" t="s">
        <v>378</v>
      </c>
      <c r="AH74" s="192">
        <f ca="1">+(AF74-AJ74)/AJ74</f>
        <v>6.6027864672374805E-4</v>
      </c>
      <c r="AI74" s="40"/>
      <c r="AJ74" s="40">
        <f>VLOOKUP(E74,Syspro!$A$2:$F$91,6,FALSE)</f>
        <v>6.9700000000000006</v>
      </c>
      <c r="AK74" s="40">
        <v>7.03</v>
      </c>
      <c r="AL74" s="40">
        <v>6.3184798256778603</v>
      </c>
      <c r="AM74" s="40">
        <v>5.9</v>
      </c>
      <c r="AN74" s="40">
        <v>5.7899999999999991</v>
      </c>
      <c r="AO74" s="40">
        <v>5.3800000000000008</v>
      </c>
      <c r="AP74" s="40">
        <v>5.3724565330355984</v>
      </c>
      <c r="AQ74" s="40">
        <v>5.92</v>
      </c>
      <c r="AR74" s="40">
        <v>5.8000000000000007</v>
      </c>
      <c r="AS74" s="40">
        <v>5.8000000000000007</v>
      </c>
      <c r="AT74" s="40">
        <v>5.67</v>
      </c>
      <c r="AU74" s="40">
        <v>5.5600000000000005</v>
      </c>
      <c r="AV74" s="40">
        <v>6.32</v>
      </c>
      <c r="AW74" s="40">
        <v>7.2659664294054807</v>
      </c>
      <c r="AX74" s="40">
        <v>7.4891487174921831</v>
      </c>
      <c r="AY74">
        <v>7.08</v>
      </c>
      <c r="AZ74">
        <v>6.45</v>
      </c>
      <c r="BB74" s="3">
        <f ca="1">(+AF74-AJ74)/AJ74</f>
        <v>6.6027864672374805E-4</v>
      </c>
      <c r="BD74" s="40"/>
    </row>
    <row r="75" spans="1:56" x14ac:dyDescent="0.25">
      <c r="A75" s="7" t="s">
        <v>445</v>
      </c>
      <c r="B75" s="7" t="s">
        <v>967</v>
      </c>
      <c r="C75" s="99">
        <f ca="1">SUMIF('Asset Allocation'!$F$1:$I$270,Calc!A75,'Asset Allocation'!I:I)</f>
        <v>706462.74999999988</v>
      </c>
      <c r="D75" s="7">
        <v>65</v>
      </c>
      <c r="E75" s="7" t="s">
        <v>445</v>
      </c>
      <c r="F75" s="43">
        <v>1</v>
      </c>
      <c r="G75" s="38">
        <f ca="1">SUMIF(Wages!$O$2:$AD$192,Calc!E75,Wages!$AD$2:$AD$192)</f>
        <v>217338.0435656</v>
      </c>
      <c r="I75">
        <v>1.81</v>
      </c>
      <c r="J75" s="29">
        <f ca="1">+G75/L75</f>
        <v>1.8866149615069445</v>
      </c>
      <c r="L75" s="29">
        <f>40*48*60*F75</f>
        <v>115200</v>
      </c>
      <c r="M75" s="39">
        <f t="shared" si="75"/>
        <v>63790.975761679423</v>
      </c>
      <c r="N75" s="39">
        <f t="shared" si="75"/>
        <v>4165.0355080213903</v>
      </c>
      <c r="P75" s="39">
        <f t="shared" ca="1" si="76"/>
        <v>39684.894550268138</v>
      </c>
      <c r="Q75" s="39">
        <f t="shared" ca="1" si="76"/>
        <v>40161.231332092895</v>
      </c>
      <c r="S75" s="39">
        <f t="shared" si="79"/>
        <v>207037.27745735997</v>
      </c>
      <c r="T75" s="39">
        <f t="shared" si="79"/>
        <v>65923.006827272722</v>
      </c>
      <c r="W75" s="39">
        <f ca="1">+W74</f>
        <v>8211.8516999191124</v>
      </c>
      <c r="Y75" s="39">
        <f ca="1">+G75</f>
        <v>217338.0435656</v>
      </c>
      <c r="Z75" s="39">
        <f t="shared" ca="1" si="77"/>
        <v>310513.14776930754</v>
      </c>
      <c r="AA75" s="39">
        <f t="shared" ca="1" si="77"/>
        <v>118461.12536730611</v>
      </c>
      <c r="AC75" s="40">
        <f ca="1">+Y75/L75</f>
        <v>1.8866149615069445</v>
      </c>
      <c r="AD75" s="40">
        <f t="shared" ca="1" si="78"/>
        <v>2.6954266299419056</v>
      </c>
      <c r="AE75" s="40">
        <f t="shared" ca="1" si="78"/>
        <v>1.0283083799245323</v>
      </c>
      <c r="AF75" s="40">
        <f ca="1">SUM(AC75:AE75)</f>
        <v>5.6103499713733829</v>
      </c>
      <c r="AG75" s="40" t="s">
        <v>378</v>
      </c>
      <c r="AH75" s="192">
        <f ca="1">+(AF75-AJ75)/AJ75</f>
        <v>-1.7170869442379422E-3</v>
      </c>
      <c r="AI75" s="40"/>
      <c r="AJ75" s="40">
        <f>VLOOKUP(E75,Syspro!$A$2:$F$91,6,FALSE)</f>
        <v>5.62</v>
      </c>
      <c r="AK75" s="40">
        <v>5.5600000000000005</v>
      </c>
      <c r="AL75" s="40">
        <v>4.748701577514483</v>
      </c>
      <c r="AM75" s="40">
        <v>4.43</v>
      </c>
      <c r="AN75" s="40">
        <v>5.25</v>
      </c>
      <c r="AO75" s="40">
        <v>4.8000000000000007</v>
      </c>
      <c r="AP75" s="40">
        <v>4.8016487737701423</v>
      </c>
      <c r="AQ75" s="40">
        <v>5.45</v>
      </c>
      <c r="AR75" s="40">
        <v>5.33</v>
      </c>
      <c r="AS75" s="40">
        <v>5.33</v>
      </c>
      <c r="AT75" s="40">
        <v>4.95</v>
      </c>
      <c r="AU75" s="40">
        <v>4.83</v>
      </c>
      <c r="AV75" s="40">
        <v>7.7</v>
      </c>
      <c r="AW75" s="40">
        <v>6.1000624647160944</v>
      </c>
      <c r="AX75" s="40">
        <v>6.0530449886505249</v>
      </c>
      <c r="AY75">
        <v>7.08</v>
      </c>
      <c r="AZ75">
        <v>6.45</v>
      </c>
      <c r="BB75" s="3">
        <f ca="1">(+AF75-AJ75)/AJ75</f>
        <v>-1.7170869442379422E-3</v>
      </c>
      <c r="BD75" s="40"/>
    </row>
    <row r="76" spans="1:56" x14ac:dyDescent="0.25">
      <c r="A76" s="7"/>
      <c r="B76" s="25" t="s">
        <v>473</v>
      </c>
      <c r="C76" s="100">
        <f ca="1">SUM(C72:C75)</f>
        <v>3864278.7</v>
      </c>
      <c r="D76" s="7">
        <f>SUM(D73:D75)</f>
        <v>195</v>
      </c>
      <c r="E76" s="7"/>
      <c r="F76" s="43">
        <f>SUM(F72:F75)</f>
        <v>4</v>
      </c>
      <c r="G76" s="38"/>
      <c r="AB76" t="s">
        <v>378</v>
      </c>
      <c r="AG76" s="40" t="s">
        <v>378</v>
      </c>
      <c r="AX76" s="40"/>
    </row>
    <row r="77" spans="1:56" x14ac:dyDescent="0.25">
      <c r="A77" s="7" t="s">
        <v>1091</v>
      </c>
      <c r="B77" s="7" t="s">
        <v>389</v>
      </c>
      <c r="C77" s="38"/>
      <c r="D77" s="7"/>
      <c r="E77" s="7" t="str">
        <f>+A77</f>
        <v>PS00005</v>
      </c>
      <c r="F77" s="43"/>
      <c r="G77" s="38"/>
      <c r="L77" s="29">
        <f t="shared" ref="L77:L83" si="80">40*48*60*F77</f>
        <v>0</v>
      </c>
      <c r="AB77" t="s">
        <v>430</v>
      </c>
      <c r="AC77" s="204">
        <f ca="1">+AC5</f>
        <v>4.0758935082113288</v>
      </c>
      <c r="AD77" s="204">
        <f t="shared" ref="AD77:AE78" ca="1" si="81">+AD5</f>
        <v>1.2807815632031145</v>
      </c>
      <c r="AE77" s="204">
        <f t="shared" ca="1" si="81"/>
        <v>0.78307627530167756</v>
      </c>
      <c r="AF77" s="40">
        <f ca="1">SUM(AC77:AE77)</f>
        <v>6.1397513467161211</v>
      </c>
      <c r="AG77" s="40" t="s">
        <v>378</v>
      </c>
      <c r="AH77" s="192">
        <f t="shared" ref="AH77:AH83" ca="1" si="82">+(AF77-AJ77)/AJ77</f>
        <v>-4.0497277504798541E-5</v>
      </c>
      <c r="AJ77" s="40">
        <f>VLOOKUP(E77,Syspro!$A$2:$F$91,6,FALSE)</f>
        <v>6.1400000000000006</v>
      </c>
      <c r="AK77" s="40">
        <v>7.5200000000000005</v>
      </c>
      <c r="AL77" s="40">
        <v>7.0896488836964489</v>
      </c>
      <c r="AM77" s="40">
        <v>6.56</v>
      </c>
      <c r="AN77" s="40">
        <v>4.0199999999999996</v>
      </c>
      <c r="AO77" s="40">
        <f t="shared" ref="AO77:AO83" ca="1" si="83">+AF77-AJ77</f>
        <v>-2.4865328387946306E-4</v>
      </c>
      <c r="AX77" s="40"/>
    </row>
    <row r="78" spans="1:56" x14ac:dyDescent="0.25">
      <c r="A78" s="7" t="s">
        <v>1093</v>
      </c>
      <c r="B78" s="7" t="s">
        <v>388</v>
      </c>
      <c r="C78" s="38"/>
      <c r="D78" s="7"/>
      <c r="E78" s="7" t="str">
        <f t="shared" ref="E78:E83" si="84">+A78</f>
        <v>PS00006</v>
      </c>
      <c r="F78" s="43"/>
      <c r="G78" s="38"/>
      <c r="L78" s="29">
        <f t="shared" si="80"/>
        <v>0</v>
      </c>
      <c r="AB78" t="s">
        <v>436</v>
      </c>
      <c r="AC78" s="204">
        <f ca="1">+AC6</f>
        <v>3.1383225509700856</v>
      </c>
      <c r="AD78" s="204">
        <f t="shared" ca="1" si="81"/>
        <v>0.85632258823368723</v>
      </c>
      <c r="AE78" s="204">
        <f t="shared" ca="1" si="81"/>
        <v>0.4016984077814697</v>
      </c>
      <c r="AF78" s="40">
        <f ca="1">SUM(AC78:AE78)</f>
        <v>4.3963435469852428</v>
      </c>
      <c r="AG78" s="40" t="s">
        <v>378</v>
      </c>
      <c r="AH78" s="192">
        <f t="shared" ca="1" si="82"/>
        <v>-8.3101204880854261E-4</v>
      </c>
      <c r="AJ78" s="40">
        <f>VLOOKUP(E78,Syspro!$A$2:$F$91,6,FALSE)</f>
        <v>4.4000000000000004</v>
      </c>
      <c r="AK78" s="40">
        <v>4.42</v>
      </c>
      <c r="AL78" s="40">
        <v>3.9685486651782242</v>
      </c>
      <c r="AM78" s="40">
        <v>4.1500000000000004</v>
      </c>
      <c r="AN78" s="40">
        <v>4.07</v>
      </c>
      <c r="AO78" s="40">
        <f t="shared" ca="1" si="83"/>
        <v>-3.656453014757588E-3</v>
      </c>
      <c r="AX78" s="40"/>
    </row>
    <row r="79" spans="1:56" x14ac:dyDescent="0.25">
      <c r="A79" s="7" t="s">
        <v>1095</v>
      </c>
      <c r="B79" s="7" t="s">
        <v>1417</v>
      </c>
      <c r="C79" s="38"/>
      <c r="D79" s="7"/>
      <c r="E79" s="7" t="str">
        <f t="shared" si="84"/>
        <v>PS00007</v>
      </c>
      <c r="F79" s="43"/>
      <c r="G79" s="38"/>
      <c r="L79" s="29">
        <f t="shared" si="80"/>
        <v>0</v>
      </c>
      <c r="AB79" t="s">
        <v>460</v>
      </c>
      <c r="AC79" s="204">
        <f ca="1">+AC7</f>
        <v>2.779254603</v>
      </c>
      <c r="AD79" s="204">
        <f t="shared" ref="AD79:AE79" ca="1" si="85">+AD7</f>
        <v>2.4115359357605395</v>
      </c>
      <c r="AE79" s="204">
        <f t="shared" ca="1" si="85"/>
        <v>0.52805206435807384</v>
      </c>
      <c r="AF79" s="40">
        <f t="shared" ref="AF79:AF83" ca="1" si="86">SUM(AC79:AE79)</f>
        <v>5.7188426031186141</v>
      </c>
      <c r="AG79" s="40" t="s">
        <v>378</v>
      </c>
      <c r="AH79" s="192">
        <f t="shared" ca="1" si="82"/>
        <v>-2.0234211213035111E-4</v>
      </c>
      <c r="AJ79" s="40">
        <f>VLOOKUP(E79,Syspro!$A$2:$F$91,6,FALSE)</f>
        <v>5.72</v>
      </c>
      <c r="AK79" s="40">
        <v>5.71</v>
      </c>
      <c r="AL79" s="40">
        <v>5.3915323781751079</v>
      </c>
      <c r="AM79" s="40">
        <v>5.34</v>
      </c>
      <c r="AN79" s="40">
        <v>2.9600000000000004</v>
      </c>
      <c r="AO79" s="40">
        <f t="shared" ca="1" si="83"/>
        <v>-1.1573968813856084E-3</v>
      </c>
      <c r="AX79" s="40"/>
    </row>
    <row r="80" spans="1:56" x14ac:dyDescent="0.25">
      <c r="A80" s="7" t="s">
        <v>1097</v>
      </c>
      <c r="B80" s="7" t="s">
        <v>372</v>
      </c>
      <c r="C80" s="38"/>
      <c r="D80" s="7"/>
      <c r="E80" s="7" t="str">
        <f t="shared" si="84"/>
        <v>PS00008</v>
      </c>
      <c r="F80" s="43"/>
      <c r="G80" s="38"/>
      <c r="L80" s="29">
        <f t="shared" si="80"/>
        <v>0</v>
      </c>
      <c r="AB80" t="s">
        <v>434</v>
      </c>
      <c r="AC80" s="204">
        <f t="shared" ref="AC80:AE80" ca="1" si="87">+AC8</f>
        <v>2.779254603</v>
      </c>
      <c r="AD80" s="204">
        <f t="shared" ca="1" si="87"/>
        <v>0.80310377989928772</v>
      </c>
      <c r="AE80" s="204">
        <f t="shared" ca="1" si="87"/>
        <v>0.34744906254382957</v>
      </c>
      <c r="AF80" s="40">
        <f t="shared" ca="1" si="86"/>
        <v>3.9298074454431173</v>
      </c>
      <c r="AG80" s="40" t="s">
        <v>378</v>
      </c>
      <c r="AH80" s="192">
        <f t="shared" ca="1" si="82"/>
        <v>-4.384247069510535E-2</v>
      </c>
      <c r="AJ80" s="40">
        <f>VLOOKUP(E80,Syspro!$A$2:$F$91,6,FALSE)</f>
        <v>4.1100000000000003</v>
      </c>
      <c r="AK80" s="40">
        <v>3.9399999999999995</v>
      </c>
      <c r="AL80" s="40">
        <v>3.6902389913958893</v>
      </c>
      <c r="AM80" s="40">
        <v>3.63</v>
      </c>
      <c r="AN80" s="40">
        <v>3.89</v>
      </c>
      <c r="AO80" s="40">
        <f t="shared" ca="1" si="83"/>
        <v>-0.18019255455688299</v>
      </c>
      <c r="AX80" s="40"/>
    </row>
    <row r="81" spans="1:56" x14ac:dyDescent="0.25">
      <c r="A81" s="7" t="s">
        <v>1099</v>
      </c>
      <c r="B81" s="7" t="s">
        <v>390</v>
      </c>
      <c r="C81" s="38"/>
      <c r="D81" s="7"/>
      <c r="E81" s="7" t="str">
        <f t="shared" si="84"/>
        <v>PS00009</v>
      </c>
      <c r="F81" s="43"/>
      <c r="G81" s="38"/>
      <c r="L81" s="29">
        <f t="shared" si="80"/>
        <v>0</v>
      </c>
      <c r="AB81" t="s">
        <v>432</v>
      </c>
      <c r="AC81" s="204">
        <f ca="1">+AC10</f>
        <v>2.2871621111820986</v>
      </c>
      <c r="AD81" s="204">
        <f t="shared" ref="AD81:AE81" ca="1" si="88">+AD10</f>
        <v>0.7559400525678075</v>
      </c>
      <c r="AE81" s="204">
        <f t="shared" ca="1" si="88"/>
        <v>0.34113228136205531</v>
      </c>
      <c r="AF81" s="40">
        <f t="shared" ca="1" si="86"/>
        <v>3.3842344451119617</v>
      </c>
      <c r="AG81" s="40" t="s">
        <v>378</v>
      </c>
      <c r="AH81" s="192">
        <f t="shared" ca="1" si="82"/>
        <v>-1.7007536542884905E-3</v>
      </c>
      <c r="AJ81" s="40">
        <f>VLOOKUP(E81,Syspro!$A$2:$F$91,6,FALSE)</f>
        <v>3.3899999999999997</v>
      </c>
      <c r="AK81" s="40">
        <v>3.4</v>
      </c>
      <c r="AL81" s="40">
        <v>3.1886977479156497</v>
      </c>
      <c r="AM81" s="40">
        <v>3.25</v>
      </c>
      <c r="AN81" s="40">
        <v>3.76</v>
      </c>
      <c r="AO81" s="40">
        <f t="shared" ca="1" si="83"/>
        <v>-5.7655548880379826E-3</v>
      </c>
      <c r="AX81" s="40"/>
    </row>
    <row r="82" spans="1:56" x14ac:dyDescent="0.25">
      <c r="A82" s="7" t="s">
        <v>1101</v>
      </c>
      <c r="B82" s="7" t="s">
        <v>393</v>
      </c>
      <c r="C82" s="38"/>
      <c r="D82" s="7"/>
      <c r="E82" s="7" t="str">
        <f t="shared" si="84"/>
        <v>PS00010</v>
      </c>
      <c r="F82" s="43"/>
      <c r="G82" s="38"/>
      <c r="L82" s="29">
        <f t="shared" si="80"/>
        <v>0</v>
      </c>
      <c r="AB82" t="s">
        <v>435</v>
      </c>
      <c r="AC82" s="204">
        <f ca="1">+AC13</f>
        <v>3.9184190282525249</v>
      </c>
      <c r="AD82" s="204">
        <f t="shared" ref="AD82:AE82" ca="1" si="89">+AD13</f>
        <v>0.94740761500923254</v>
      </c>
      <c r="AE82" s="204">
        <f t="shared" ca="1" si="89"/>
        <v>0.33953220743585871</v>
      </c>
      <c r="AF82" s="40">
        <f t="shared" ca="1" si="86"/>
        <v>5.2053588506976158</v>
      </c>
      <c r="AG82" s="40" t="s">
        <v>378</v>
      </c>
      <c r="AH82" s="192">
        <f t="shared" ca="1" si="82"/>
        <v>-8.9081560506413225E-4</v>
      </c>
      <c r="AJ82" s="40">
        <f>VLOOKUP(E82,Syspro!$A$2:$F$91,6,FALSE)</f>
        <v>5.21</v>
      </c>
      <c r="AK82" s="40">
        <v>5.21</v>
      </c>
      <c r="AL82" s="40">
        <v>4.9506931566408623</v>
      </c>
      <c r="AM82" s="40">
        <v>4.84</v>
      </c>
      <c r="AN82" s="40">
        <v>4.1500000000000004</v>
      </c>
      <c r="AO82" s="40">
        <f t="shared" ca="1" si="83"/>
        <v>-4.6411493023841288E-3</v>
      </c>
      <c r="AX82" s="40"/>
    </row>
    <row r="83" spans="1:56" x14ac:dyDescent="0.25">
      <c r="A83" s="7" t="s">
        <v>1103</v>
      </c>
      <c r="B83" s="7" t="s">
        <v>826</v>
      </c>
      <c r="C83" s="38"/>
      <c r="D83" s="7"/>
      <c r="E83" s="7" t="str">
        <f t="shared" si="84"/>
        <v>PS00011</v>
      </c>
      <c r="F83" s="43"/>
      <c r="G83" s="38"/>
      <c r="L83" s="29">
        <f t="shared" si="80"/>
        <v>0</v>
      </c>
      <c r="AB83" s="2" t="s">
        <v>825</v>
      </c>
      <c r="AC83" s="204">
        <f ca="1">+AC12</f>
        <v>2.889795528173333</v>
      </c>
      <c r="AD83" s="204">
        <f t="shared" ref="AD83:AE83" ca="1" si="90">+AD12</f>
        <v>0.82537216513533063</v>
      </c>
      <c r="AE83" s="204">
        <f t="shared" ca="1" si="90"/>
        <v>0.37350090971172945</v>
      </c>
      <c r="AF83" s="40">
        <f t="shared" ca="1" si="86"/>
        <v>4.0886686030203929</v>
      </c>
      <c r="AG83" s="40" t="s">
        <v>378</v>
      </c>
      <c r="AH83" s="192">
        <f t="shared" ca="1" si="82"/>
        <v>-3.2552493388922636E-4</v>
      </c>
      <c r="AJ83" s="40">
        <f>VLOOKUP(E83,Syspro!$A$2:$F$91,6,FALSE)</f>
        <v>4.09</v>
      </c>
      <c r="AK83" s="40">
        <v>4.1100000000000003</v>
      </c>
      <c r="AL83" s="40">
        <v>3.7800581468923276</v>
      </c>
      <c r="AM83" s="40">
        <v>4.05</v>
      </c>
      <c r="AN83" s="40">
        <v>4.07</v>
      </c>
      <c r="AO83" s="40">
        <f t="shared" ca="1" si="83"/>
        <v>-1.3313969796069358E-3</v>
      </c>
      <c r="AX83" s="40"/>
    </row>
    <row r="84" spans="1:56" x14ac:dyDescent="0.25">
      <c r="A84" s="7"/>
      <c r="B84" s="7"/>
      <c r="C84" s="38"/>
      <c r="D84" s="7"/>
      <c r="E84" s="7"/>
      <c r="F84" s="43"/>
      <c r="G84" s="38"/>
      <c r="AC84" s="188"/>
      <c r="AD84" s="188"/>
      <c r="AE84" s="188"/>
      <c r="AF84" s="188"/>
      <c r="AG84" s="194"/>
      <c r="AH84" s="193"/>
      <c r="AL84" s="188"/>
      <c r="AX84" s="40"/>
    </row>
    <row r="85" spans="1:56" x14ac:dyDescent="0.25">
      <c r="A85" s="7"/>
      <c r="B85" s="7"/>
      <c r="C85" s="38"/>
      <c r="D85" s="7"/>
      <c r="E85" s="7"/>
      <c r="F85" s="43"/>
      <c r="G85" s="38"/>
      <c r="AC85" s="189"/>
      <c r="AD85" s="189"/>
      <c r="AE85" s="189"/>
      <c r="AF85" s="189"/>
      <c r="AL85" s="189"/>
      <c r="AX85" s="40"/>
    </row>
    <row r="86" spans="1:56" ht="23.25" x14ac:dyDescent="0.35">
      <c r="A86" s="21" t="s">
        <v>474</v>
      </c>
      <c r="B86" s="7"/>
      <c r="C86" s="38"/>
      <c r="D86" s="7"/>
      <c r="E86" s="21" t="s">
        <v>474</v>
      </c>
      <c r="F86" s="43"/>
      <c r="G86" s="38"/>
      <c r="M86" s="39"/>
      <c r="N86" s="39"/>
      <c r="AC86" s="188"/>
      <c r="AD86" s="188"/>
      <c r="AE86" s="188"/>
      <c r="AF86" s="188"/>
      <c r="AG86" s="194"/>
      <c r="AH86" s="193"/>
      <c r="AL86" s="188"/>
      <c r="AX86" s="40"/>
    </row>
    <row r="87" spans="1:56" x14ac:dyDescent="0.25">
      <c r="A87" s="7" t="s">
        <v>411</v>
      </c>
      <c r="B87" s="7" t="s">
        <v>475</v>
      </c>
      <c r="C87" s="99">
        <f ca="1">SUMIF('Asset Allocation'!$F$1:$I$270,Calc!A87,'Asset Allocation'!I:I)</f>
        <v>351270.5</v>
      </c>
      <c r="D87" s="7">
        <v>95</v>
      </c>
      <c r="E87" s="7" t="s">
        <v>411</v>
      </c>
      <c r="F87" s="43">
        <f ca="1">SUMIF(Wages!$O$2:$P$190,Calc!E87,Wages!$P$2:$P$190)</f>
        <v>2</v>
      </c>
      <c r="G87" s="38">
        <f ca="1">SUMIF(Wages!$O$2:$AD$192,Calc!E87,Wages!$AD$2:$AD$192)</f>
        <v>548473.10209706682</v>
      </c>
      <c r="I87">
        <v>2.33</v>
      </c>
      <c r="J87" s="29">
        <f ca="1">+G87/L87</f>
        <v>2.3805256167407416</v>
      </c>
      <c r="L87" s="29">
        <f ca="1">+F87*40*48*60</f>
        <v>230400</v>
      </c>
      <c r="M87" s="59">
        <f>HLOOKUP($B$88,Overhead!$N:$N,M$1,FALSE)</f>
        <v>125349.19237170006</v>
      </c>
      <c r="N87" s="59">
        <f>HLOOKUP($B$88,Overhead!$N:$N,N$1,FALSE)</f>
        <v>8184.2947732620323</v>
      </c>
      <c r="P87" s="59">
        <f>HLOOKUP($B$88,Overhead!$N:$N,P$1,FALSE)</f>
        <v>10853.614909090909</v>
      </c>
      <c r="Q87" s="59">
        <f>HLOOKUP($B$88,Overhead!$N:$N,Q$1,FALSE)</f>
        <v>19969.143186445344</v>
      </c>
      <c r="S87" s="59">
        <f>HLOOKUP($B$88,Overhead!$N:$N,S$1,FALSE)</f>
        <v>294557.75416197331</v>
      </c>
      <c r="T87" s="59">
        <f>HLOOKUP($B$88,Overhead!$N:$N,T$1,FALSE)</f>
        <v>94906.406290909086</v>
      </c>
      <c r="W87" s="59">
        <f ca="1">HLOOKUP($B$88,Overhead!$N:$N,W$1,FALSE)</f>
        <v>16423.703399838225</v>
      </c>
      <c r="Y87" s="59">
        <f ca="1">+G87</f>
        <v>548473.10209706682</v>
      </c>
      <c r="Z87" s="59">
        <f>+M87+P87+S87+V87</f>
        <v>430760.56144276424</v>
      </c>
      <c r="AA87" s="59">
        <f ca="1">+N87+Q87+T87+W87</f>
        <v>139483.54765045468</v>
      </c>
      <c r="AC87" s="40">
        <f ca="1">+Y87/L87</f>
        <v>2.3805256167407416</v>
      </c>
      <c r="AD87" s="40">
        <f ca="1">+Z87/$L87</f>
        <v>1.8696204923731088</v>
      </c>
      <c r="AE87" s="40">
        <f ca="1">+AA87/$L87</f>
        <v>0.60539734223287622</v>
      </c>
      <c r="AF87" s="40">
        <f ca="1">SUM(AC87:AE87)</f>
        <v>4.8555434513467262</v>
      </c>
      <c r="AG87" s="40" t="s">
        <v>378</v>
      </c>
      <c r="AH87" s="192">
        <f ca="1">+(AF87-AJ87)/AJ87</f>
        <v>-9.1698531960373686E-4</v>
      </c>
      <c r="AI87" s="40"/>
      <c r="AJ87" s="40">
        <f>VLOOKUP(E87,Syspro!$A$2:$F$91,6,FALSE)</f>
        <v>4.8600000000000003</v>
      </c>
      <c r="AK87" s="40">
        <v>4.79</v>
      </c>
      <c r="AL87" s="40">
        <v>4.6206934911319362</v>
      </c>
      <c r="AM87" s="40">
        <v>4.3000000000000007</v>
      </c>
      <c r="AN87" s="40">
        <v>4.0199999999999996</v>
      </c>
      <c r="AO87" s="40">
        <v>3.8599999999999994</v>
      </c>
      <c r="AP87" s="40">
        <v>3.8640253863998417</v>
      </c>
      <c r="AQ87" s="40">
        <v>3.8400000000000003</v>
      </c>
      <c r="AR87" s="40">
        <v>3.71</v>
      </c>
      <c r="AS87" s="40">
        <v>3.71</v>
      </c>
      <c r="AT87" s="40">
        <v>3.8000000000000003</v>
      </c>
      <c r="AU87" s="40">
        <v>3.7100000000000004</v>
      </c>
      <c r="AV87" s="40">
        <v>3.8699999999999997</v>
      </c>
      <c r="AW87" s="40">
        <v>3.7631285071316656</v>
      </c>
      <c r="AX87" s="40">
        <v>3.6800101564117811</v>
      </c>
      <c r="AY87">
        <v>2.34</v>
      </c>
      <c r="AZ87">
        <v>2.33</v>
      </c>
      <c r="BB87" s="3">
        <f ca="1">(+AF87-AJ87)/AJ87</f>
        <v>-9.1698531960373686E-4</v>
      </c>
      <c r="BD87" s="40"/>
    </row>
    <row r="88" spans="1:56" x14ac:dyDescent="0.25">
      <c r="A88" s="7"/>
      <c r="B88" s="25" t="s">
        <v>474</v>
      </c>
      <c r="C88" s="100">
        <f ca="1">SUM(C87)</f>
        <v>351270.5</v>
      </c>
      <c r="D88" s="7">
        <f>SUM(D87)</f>
        <v>95</v>
      </c>
      <c r="E88" s="7"/>
      <c r="F88" s="43">
        <f ca="1">SUM(F87)</f>
        <v>2</v>
      </c>
      <c r="G88" s="38"/>
      <c r="AX88" s="40"/>
    </row>
    <row r="89" spans="1:56" x14ac:dyDescent="0.25">
      <c r="A89" s="7"/>
      <c r="B89" s="25"/>
      <c r="C89" s="100"/>
      <c r="D89" s="7"/>
      <c r="E89" s="7"/>
      <c r="F89" s="43"/>
      <c r="G89" s="38"/>
      <c r="AX89" s="40"/>
    </row>
    <row r="90" spans="1:56" ht="23.25" x14ac:dyDescent="0.35">
      <c r="A90" s="21" t="s">
        <v>1033</v>
      </c>
      <c r="B90" s="7"/>
      <c r="C90" s="38"/>
      <c r="D90" s="7"/>
      <c r="E90" s="21" t="s">
        <v>1033</v>
      </c>
      <c r="F90" s="43"/>
      <c r="G90" s="38"/>
      <c r="J90" s="181">
        <f ca="1">SUM(G91:G94)</f>
        <v>530306.47496480006</v>
      </c>
      <c r="M90" s="59">
        <f>HLOOKUP($B$96,Overhead!$O:$O,M$1,FALSE)</f>
        <v>95686.963642519142</v>
      </c>
      <c r="N90" s="59">
        <f>HLOOKUP($B$96,Overhead!$O:$O,N$1,FALSE)</f>
        <v>6247.5532620320864</v>
      </c>
      <c r="P90" s="59">
        <f>HLOOKUP($B$96,Overhead!$O:$O,P$1,FALSE)</f>
        <v>32560.844727272728</v>
      </c>
      <c r="Q90" s="59">
        <f>HLOOKUP($B$96,Overhead!$O:$O,Q$1,FALSE)</f>
        <v>70447.196207778601</v>
      </c>
      <c r="S90" s="59">
        <f>HLOOKUP($B$96,Overhead!$O:$O,S$1,FALSE)</f>
        <v>317955.73230549332</v>
      </c>
      <c r="T90" s="59">
        <f>HLOOKUP($B$96,Overhead!$O:$O,T$1,FALSE)</f>
        <v>161919.24850909095</v>
      </c>
      <c r="W90" s="59">
        <f ca="1">HLOOKUP($B$96,Overhead!$O:$O,W$1,FALSE)</f>
        <v>32847.40679967645</v>
      </c>
      <c r="AX90" s="40"/>
    </row>
    <row r="91" spans="1:56" x14ac:dyDescent="0.25">
      <c r="A91" t="s">
        <v>1032</v>
      </c>
      <c r="B91" s="7" t="s">
        <v>1038</v>
      </c>
      <c r="C91" s="99">
        <f>+'Asset Allocation'!I327</f>
        <v>466471</v>
      </c>
      <c r="D91" s="7">
        <v>33</v>
      </c>
      <c r="E91" t="s">
        <v>1032</v>
      </c>
      <c r="F91" s="43">
        <v>1</v>
      </c>
      <c r="G91" s="38">
        <f ca="1">SUMIF(Wages!$O$2:$AD$206,Calc!E91,Wages!$AD$2:$AD$206)</f>
        <v>176070.43505379203</v>
      </c>
      <c r="J91" s="29">
        <f ca="1">+J90/3/$L$91</f>
        <v>1.5344516058009261</v>
      </c>
      <c r="L91" s="29">
        <f t="shared" ref="L91:L92" si="91">+F91*40*48*60</f>
        <v>115200</v>
      </c>
      <c r="M91" s="39">
        <f>+$D91/$D$96*$M$90</f>
        <v>23564.700001515906</v>
      </c>
      <c r="N91" s="39">
        <f>+D91/$D$96*$N$90</f>
        <v>1538.5765496049166</v>
      </c>
      <c r="P91" s="39">
        <f>+P$90*$C91/$C$96</f>
        <v>12256.722452698315</v>
      </c>
      <c r="Q91" s="39">
        <f>+Q$90*$C91/$C$96</f>
        <v>26518.099844206517</v>
      </c>
      <c r="S91" s="39">
        <f>+S90/3</f>
        <v>105985.24410183111</v>
      </c>
      <c r="T91" s="39">
        <f>+T90/3</f>
        <v>53973.082836363646</v>
      </c>
      <c r="W91" s="39">
        <f ca="1">+W90/3</f>
        <v>10949.13559989215</v>
      </c>
      <c r="Y91" s="39">
        <f ca="1">+$G$96/3</f>
        <v>176768.82498826669</v>
      </c>
      <c r="Z91" s="39">
        <f t="shared" ref="Z91:Z92" si="92">+M91+P91+S91+V91</f>
        <v>141806.66655604533</v>
      </c>
      <c r="AA91" s="39">
        <f t="shared" ref="AA91:AA92" ca="1" si="93">+N91+Q91+T91+W91</f>
        <v>92978.894830067235</v>
      </c>
      <c r="AC91" s="40">
        <f ca="1">+Y91/$L$91</f>
        <v>1.5344516058009261</v>
      </c>
      <c r="AD91" s="40">
        <f t="shared" ref="AD91:AD92" si="94">+Z91/$L91</f>
        <v>1.2309606471878936</v>
      </c>
      <c r="AE91" s="40">
        <f t="shared" ref="AE91:AE92" ca="1" si="95">+AA91/$L91</f>
        <v>0.80710846206655584</v>
      </c>
      <c r="AF91" s="40">
        <f t="shared" ref="AF91:AF92" ca="1" si="96">SUM(AC91:AE91)</f>
        <v>3.5725207150553757</v>
      </c>
      <c r="AG91" s="40" t="s">
        <v>378</v>
      </c>
      <c r="AH91" s="192">
        <f ca="1">+(AF91-AJ91)/AJ91</f>
        <v>7.060826485646715E-4</v>
      </c>
      <c r="AI91" s="40"/>
      <c r="AJ91" s="40">
        <f>VLOOKUP(E91,Syspro!$A$2:$F$91,6,FALSE)</f>
        <v>3.57</v>
      </c>
      <c r="AK91" s="40">
        <v>3.5399999999999996</v>
      </c>
      <c r="AL91" s="40">
        <v>3.3712238200223803</v>
      </c>
      <c r="AM91" s="40">
        <v>3.1599999999999997</v>
      </c>
      <c r="AN91" s="40">
        <v>3.2199999999999998</v>
      </c>
      <c r="AO91" s="40">
        <v>3.13</v>
      </c>
      <c r="AP91" s="40">
        <v>3.1244750592591077</v>
      </c>
      <c r="AQ91" s="40">
        <v>3.2600000000000002</v>
      </c>
      <c r="AR91" s="40">
        <v>3.76</v>
      </c>
      <c r="AS91" s="40">
        <v>0</v>
      </c>
      <c r="AT91" s="40">
        <v>0</v>
      </c>
      <c r="AU91" s="40">
        <v>0</v>
      </c>
      <c r="AV91" s="40">
        <v>0</v>
      </c>
      <c r="AW91" s="40">
        <v>0</v>
      </c>
      <c r="AX91" s="40">
        <v>0</v>
      </c>
      <c r="AY91" s="40">
        <v>0</v>
      </c>
      <c r="AZ91" s="40">
        <v>0</v>
      </c>
      <c r="BB91" s="3">
        <f ca="1">(+AF91-AJ91)/AJ91</f>
        <v>7.060826485646715E-4</v>
      </c>
      <c r="BD91" s="40"/>
    </row>
    <row r="92" spans="1:56" x14ac:dyDescent="0.25">
      <c r="A92" t="s">
        <v>1036</v>
      </c>
      <c r="B92" s="7" t="s">
        <v>1039</v>
      </c>
      <c r="C92" s="99">
        <f>+'Asset Allocation'!I328</f>
        <v>406471</v>
      </c>
      <c r="D92" s="7">
        <v>33</v>
      </c>
      <c r="E92" t="s">
        <v>1036</v>
      </c>
      <c r="F92" s="43">
        <v>1</v>
      </c>
      <c r="G92" s="38">
        <f ca="1">SUMIF(Wages!$O$2:$AD$206,Calc!E92,Wages!$AD$2:$AD$206)</f>
        <v>176070.43505379203</v>
      </c>
      <c r="J92" s="29">
        <f ca="1">+$J$90/3/$L92</f>
        <v>1.5344516058009261</v>
      </c>
      <c r="L92" s="29">
        <f t="shared" si="91"/>
        <v>115200</v>
      </c>
      <c r="M92" s="39">
        <f t="shared" ref="M92:M94" si="97">+D92/$D$96*$M$90</f>
        <v>23564.700001515906</v>
      </c>
      <c r="N92" s="39">
        <f t="shared" ref="N92:N94" si="98">+D92/$D$96*$N$90</f>
        <v>1538.5765496049166</v>
      </c>
      <c r="P92" s="39">
        <f t="shared" ref="P92:Q94" si="99">+P$90*$C92/$C$96</f>
        <v>10680.197122802354</v>
      </c>
      <c r="Q92" s="39">
        <f t="shared" si="99"/>
        <v>23107.199722543239</v>
      </c>
      <c r="S92" s="39">
        <f>+S91</f>
        <v>105985.24410183111</v>
      </c>
      <c r="T92" s="39">
        <f>+T91</f>
        <v>53973.082836363646</v>
      </c>
      <c r="W92" s="39">
        <f ca="1">+W91</f>
        <v>10949.13559989215</v>
      </c>
      <c r="Y92" s="39">
        <f t="shared" ref="Y92:Y94" ca="1" si="100">+$G$96/3</f>
        <v>176768.82498826669</v>
      </c>
      <c r="Z92" s="39">
        <f t="shared" si="92"/>
        <v>140230.14122614937</v>
      </c>
      <c r="AA92" s="39">
        <f t="shared" ca="1" si="93"/>
        <v>89567.994708403945</v>
      </c>
      <c r="AC92" s="40">
        <f t="shared" ref="AC92" ca="1" si="101">+Y92/L92</f>
        <v>1.5344516058009261</v>
      </c>
      <c r="AD92" s="40">
        <f t="shared" si="94"/>
        <v>1.217275531476991</v>
      </c>
      <c r="AE92" s="40">
        <f t="shared" ca="1" si="95"/>
        <v>0.77749995406600647</v>
      </c>
      <c r="AF92" s="40">
        <f t="shared" ca="1" si="96"/>
        <v>3.5292270913439232</v>
      </c>
      <c r="AG92" s="40" t="s">
        <v>378</v>
      </c>
      <c r="AH92" s="192">
        <f ca="1">+(AF92-AJ92)/AJ92</f>
        <v>-2.1895429350624436E-4</v>
      </c>
      <c r="AI92" s="40"/>
      <c r="AJ92" s="40">
        <f>VLOOKUP(E92,Syspro!$A$2:$F$91,6,FALSE)</f>
        <v>3.5300000000000002</v>
      </c>
      <c r="AK92" s="40">
        <v>3.49</v>
      </c>
      <c r="AL92" s="40">
        <v>3.3304642203345174</v>
      </c>
      <c r="AM92" s="40">
        <v>3.12</v>
      </c>
      <c r="AN92" s="40">
        <v>3.1799999999999997</v>
      </c>
      <c r="AO92" s="40">
        <v>3.09</v>
      </c>
      <c r="AP92" s="40">
        <v>3.094465362567429</v>
      </c>
      <c r="AQ92" s="40">
        <v>3.2200000000000006</v>
      </c>
      <c r="AR92" s="40">
        <v>0</v>
      </c>
      <c r="AS92" s="40">
        <v>0</v>
      </c>
      <c r="AT92" s="40">
        <v>0</v>
      </c>
      <c r="AU92" s="40">
        <v>0</v>
      </c>
      <c r="AV92" s="40">
        <v>0</v>
      </c>
      <c r="AW92" s="40">
        <v>0</v>
      </c>
      <c r="AX92" s="40">
        <v>0</v>
      </c>
      <c r="AY92" s="40">
        <v>0</v>
      </c>
      <c r="AZ92" s="40">
        <v>0</v>
      </c>
      <c r="BB92" s="3">
        <f ca="1">(+AF92-AJ92)/AJ92</f>
        <v>-2.1895429350624436E-4</v>
      </c>
      <c r="BD92" s="40"/>
    </row>
    <row r="93" spans="1:56" x14ac:dyDescent="0.25">
      <c r="A93" t="s">
        <v>1037</v>
      </c>
      <c r="B93" s="7" t="s">
        <v>1427</v>
      </c>
      <c r="C93" s="99">
        <f>+'Asset Allocation'!I329</f>
        <v>366271</v>
      </c>
      <c r="D93" s="7">
        <v>34</v>
      </c>
      <c r="E93" t="s">
        <v>1037</v>
      </c>
      <c r="F93" s="43">
        <v>1</v>
      </c>
      <c r="G93" s="38">
        <f ca="1">SUMIF(Wages!$O$2:$AD$206,Calc!E93,Wages!$AD$2:$AD$206)</f>
        <v>178165.60485721604</v>
      </c>
      <c r="J93" s="29">
        <f ca="1">+$J$90/3/$L93</f>
        <v>1.5344516058009261</v>
      </c>
      <c r="L93" s="29">
        <f>+F93*40*48*60</f>
        <v>115200</v>
      </c>
      <c r="M93" s="39">
        <f t="shared" ref="M93" si="102">+D93/$D$96*$M$90</f>
        <v>24278.781819743665</v>
      </c>
      <c r="N93" s="39">
        <f t="shared" ref="N93" si="103">+D93/$D$96*$N$90</f>
        <v>1585.2000814111266</v>
      </c>
      <c r="P93" s="39">
        <f t="shared" si="99"/>
        <v>9623.9251517720586</v>
      </c>
      <c r="Q93" s="39">
        <f t="shared" si="99"/>
        <v>20821.896641028845</v>
      </c>
      <c r="S93" s="39">
        <f>+S91</f>
        <v>105985.24410183111</v>
      </c>
      <c r="T93" s="39">
        <f>+T91</f>
        <v>53973.082836363646</v>
      </c>
      <c r="W93" s="39">
        <f ca="1">+W91</f>
        <v>10949.13559989215</v>
      </c>
      <c r="Y93" s="39">
        <f t="shared" ca="1" si="100"/>
        <v>176768.82498826669</v>
      </c>
      <c r="Z93" s="39">
        <f>+M93+P93+S93+V93</f>
        <v>139887.95107334683</v>
      </c>
      <c r="AA93" s="39">
        <f ca="1">+N93+Q93+T93+W93</f>
        <v>87329.315158695768</v>
      </c>
      <c r="AC93" s="40">
        <f ca="1">+Y93/L93</f>
        <v>1.5344516058009261</v>
      </c>
      <c r="AD93" s="40">
        <f>+Z93/$L93</f>
        <v>1.2143051308450246</v>
      </c>
      <c r="AE93" s="40">
        <f ca="1">+AA93/$L93</f>
        <v>0.75806697186367855</v>
      </c>
      <c r="AF93" s="40">
        <f ca="1">SUM(AC93:AE93)</f>
        <v>3.5068237085096294</v>
      </c>
      <c r="AG93" s="40" t="s">
        <v>378</v>
      </c>
      <c r="AH93" s="192">
        <f ca="1">+(AF93-AJ93)/AJ93</f>
        <v>1.3532863731106784E-2</v>
      </c>
      <c r="AI93" s="40"/>
      <c r="AJ93" s="40">
        <f>VLOOKUP(E93,Syspro!$A$2:$F$91,6,FALSE)</f>
        <v>3.46</v>
      </c>
      <c r="AK93" s="40">
        <v>3.46</v>
      </c>
      <c r="AL93" s="40">
        <v>3.3097957561384317</v>
      </c>
      <c r="AM93" s="40">
        <v>3.09</v>
      </c>
      <c r="AN93" s="40">
        <v>3.17</v>
      </c>
      <c r="AO93" s="40">
        <v>3.09</v>
      </c>
      <c r="AP93" s="40">
        <v>3.0905390551082359</v>
      </c>
      <c r="AQ93" s="40">
        <v>3.22</v>
      </c>
      <c r="AR93" s="40">
        <v>0</v>
      </c>
      <c r="AS93" s="40">
        <v>0</v>
      </c>
      <c r="AT93" s="40">
        <v>0</v>
      </c>
      <c r="AU93" s="40">
        <v>0</v>
      </c>
      <c r="AV93" s="40">
        <v>0</v>
      </c>
      <c r="AW93" s="40">
        <v>0</v>
      </c>
      <c r="AX93" s="40">
        <v>0</v>
      </c>
      <c r="AY93" s="40">
        <v>0</v>
      </c>
      <c r="AZ93" s="40">
        <v>0</v>
      </c>
      <c r="BB93" s="3">
        <f ca="1">(+AF93-AJ93)/AJ93</f>
        <v>1.3532863731106784E-2</v>
      </c>
      <c r="BD93" s="40"/>
    </row>
    <row r="94" spans="1:56" x14ac:dyDescent="0.25">
      <c r="A94" t="s">
        <v>1054</v>
      </c>
      <c r="B94" s="7" t="s">
        <v>1063</v>
      </c>
      <c r="C94" s="99"/>
      <c r="D94" s="7">
        <v>34</v>
      </c>
      <c r="E94" t="s">
        <v>1054</v>
      </c>
      <c r="F94" s="43">
        <v>1</v>
      </c>
      <c r="G94" s="38">
        <f ca="1">SUMIF(Wages!$O$2:$AD$206,Calc!E94,Wages!$AD$2:$AD$206)</f>
        <v>0</v>
      </c>
      <c r="J94" s="29">
        <f ca="1">+$J$90/3/$L94</f>
        <v>1.5344516058009261</v>
      </c>
      <c r="L94" s="29">
        <f>+F94*40*48*60</f>
        <v>115200</v>
      </c>
      <c r="M94" s="39">
        <f t="shared" si="97"/>
        <v>24278.781819743665</v>
      </c>
      <c r="N94" s="39">
        <f t="shared" si="98"/>
        <v>1585.2000814111266</v>
      </c>
      <c r="P94" s="39">
        <f t="shared" si="99"/>
        <v>0</v>
      </c>
      <c r="Q94" s="39">
        <f t="shared" si="99"/>
        <v>0</v>
      </c>
      <c r="S94" s="39">
        <f>+S92</f>
        <v>105985.24410183111</v>
      </c>
      <c r="T94" s="39">
        <f>+T92</f>
        <v>53973.082836363646</v>
      </c>
      <c r="W94" s="39">
        <f ca="1">+W92</f>
        <v>10949.13559989215</v>
      </c>
      <c r="Y94" s="39">
        <f t="shared" ca="1" si="100"/>
        <v>176768.82498826669</v>
      </c>
      <c r="Z94" s="39">
        <f>+M94+P94+S94+V94</f>
        <v>130264.02592157476</v>
      </c>
      <c r="AA94" s="39">
        <f ca="1">+N94+Q94+T94+W94</f>
        <v>66507.418517666927</v>
      </c>
      <c r="AC94" s="40">
        <f ca="1">+Y94/L94</f>
        <v>1.5344516058009261</v>
      </c>
      <c r="AD94" s="40">
        <f>+Z94/$L94</f>
        <v>1.1307641139025588</v>
      </c>
      <c r="AE94" s="40">
        <f ca="1">+AA94/$L94</f>
        <v>0.5773213412991921</v>
      </c>
      <c r="AF94" s="40">
        <f ca="1">SUM(AC94:AE94)</f>
        <v>3.2425370610026771</v>
      </c>
      <c r="AG94" s="40" t="s">
        <v>378</v>
      </c>
      <c r="AH94" s="192">
        <f ca="1">+(AF94-AJ94)/AJ94</f>
        <v>7.8304351934472877E-4</v>
      </c>
      <c r="AI94" s="40"/>
      <c r="AJ94" s="40">
        <f>VLOOKUP(E94,Syspro!$A$2:$F$91,6,FALSE)</f>
        <v>3.24</v>
      </c>
      <c r="AK94" s="40">
        <v>3.1500000000000004</v>
      </c>
      <c r="AL94" s="40">
        <v>3.043093184126294</v>
      </c>
      <c r="AM94" s="40">
        <v>2.84</v>
      </c>
      <c r="AN94" s="40">
        <v>2.9499999999999997</v>
      </c>
      <c r="AO94" s="40">
        <v>2.9</v>
      </c>
      <c r="AP94" s="40">
        <v>2.897241096939406</v>
      </c>
      <c r="AQ94" s="40">
        <v>3.0100000000000002</v>
      </c>
      <c r="AR94" s="40">
        <v>0</v>
      </c>
      <c r="AS94" s="40">
        <v>0</v>
      </c>
      <c r="AT94" s="40">
        <v>0</v>
      </c>
      <c r="AU94" s="40">
        <v>0</v>
      </c>
      <c r="AV94" s="40">
        <v>0</v>
      </c>
      <c r="AW94" s="40">
        <v>0</v>
      </c>
      <c r="AX94" s="40">
        <v>0</v>
      </c>
      <c r="AY94" s="40">
        <v>0</v>
      </c>
      <c r="AZ94" s="40">
        <v>0</v>
      </c>
      <c r="BB94" s="3">
        <f ca="1">(+AF94-AJ94)/AJ94</f>
        <v>7.8304351934472877E-4</v>
      </c>
      <c r="BD94" s="40"/>
    </row>
    <row r="95" spans="1:56" x14ac:dyDescent="0.25">
      <c r="B95" s="7"/>
      <c r="C95" s="99"/>
      <c r="D95" s="7"/>
      <c r="F95" s="43"/>
      <c r="G95" s="38"/>
      <c r="M95" s="39"/>
      <c r="N95" s="39"/>
      <c r="S95" s="39"/>
      <c r="Y95" s="39"/>
      <c r="Z95" s="39"/>
      <c r="AA95" s="39"/>
      <c r="AC95" s="40"/>
      <c r="AD95" s="40"/>
      <c r="AE95" s="40"/>
      <c r="AF95" s="40"/>
      <c r="AG95" s="40"/>
      <c r="AH95" s="173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BD95" s="40"/>
    </row>
    <row r="96" spans="1:56" x14ac:dyDescent="0.25">
      <c r="A96" s="7"/>
      <c r="B96" s="25" t="s">
        <v>1033</v>
      </c>
      <c r="C96" s="100">
        <f>SUM(C91:C94)</f>
        <v>1239213</v>
      </c>
      <c r="D96" s="7">
        <f>SUM(D91:D94)</f>
        <v>134</v>
      </c>
      <c r="E96" s="7"/>
      <c r="F96" s="43">
        <f>SUM(F91:F94)</f>
        <v>4</v>
      </c>
      <c r="G96" s="43">
        <f ca="1">SUM(G91:G94)</f>
        <v>530306.47496480006</v>
      </c>
    </row>
    <row r="97" spans="1:56" x14ac:dyDescent="0.25">
      <c r="A97" s="7"/>
      <c r="B97" s="7"/>
      <c r="C97" s="38"/>
      <c r="D97" s="7"/>
      <c r="E97" s="7"/>
      <c r="F97" s="43"/>
      <c r="G97" s="38"/>
      <c r="AX97" s="40"/>
    </row>
    <row r="98" spans="1:56" ht="23.25" x14ac:dyDescent="0.35">
      <c r="A98" s="21" t="s">
        <v>1042</v>
      </c>
      <c r="B98" s="7"/>
      <c r="C98" s="38"/>
      <c r="D98" s="7"/>
      <c r="E98" s="21" t="s">
        <v>1042</v>
      </c>
      <c r="F98" s="43"/>
      <c r="G98" s="38"/>
      <c r="M98" s="39"/>
      <c r="N98" s="39"/>
      <c r="AX98" s="40"/>
    </row>
    <row r="99" spans="1:56" x14ac:dyDescent="0.25">
      <c r="A99" s="28" t="s">
        <v>1044</v>
      </c>
      <c r="B99" s="7" t="s">
        <v>407</v>
      </c>
      <c r="C99" s="99">
        <f>+'Asset Allocation'!I336</f>
        <v>1289500</v>
      </c>
      <c r="D99" s="7">
        <v>60</v>
      </c>
      <c r="E99" s="28" t="s">
        <v>1044</v>
      </c>
      <c r="F99" s="43">
        <v>1</v>
      </c>
      <c r="G99" s="38">
        <f ca="1">SUMIF(Wages!$O$2:$AD$231,Calc!E99,Wages!$AD$2:$AD$231)</f>
        <v>312932.32570026669</v>
      </c>
      <c r="I99">
        <v>2.06</v>
      </c>
      <c r="J99" s="29">
        <f ca="1">+G99/L99</f>
        <v>2.7164264383703705</v>
      </c>
      <c r="L99" s="29">
        <f>+F99*40*48*60</f>
        <v>115200</v>
      </c>
      <c r="M99" s="59">
        <f>HLOOKUP($B$104,Overhead!$P:$P,M$1,FALSE)</f>
        <v>117694.87528029854</v>
      </c>
      <c r="N99" s="59">
        <f>HLOOKUP($B$104,Overhead!$P:$P,N$1,FALSE)</f>
        <v>7684.4905122994642</v>
      </c>
      <c r="P99" s="59">
        <f>HLOOKUP($B$104,Overhead!$P:$P,P$1,FALSE)</f>
        <v>21707.229818181819</v>
      </c>
      <c r="Q99" s="59">
        <f>HLOOKUP($B$104,Overhead!$P:$P,Q$1,FALSE)</f>
        <v>65306.704242705899</v>
      </c>
      <c r="S99" s="59">
        <f>HLOOKUP($B$104,Overhead!$P:$P,S$1,FALSE)</f>
        <v>373479.88496197329</v>
      </c>
      <c r="T99" s="59">
        <f>HLOOKUP($B$104,Overhead!$P:$P,T$1,FALSE)</f>
        <v>100001.26734545453</v>
      </c>
      <c r="W99" s="59">
        <f ca="1">HLOOKUP($B$104,Overhead!$P:$P,W$1,FALSE)</f>
        <v>37774.517819627916</v>
      </c>
      <c r="Y99" s="59">
        <f ca="1">+G99</f>
        <v>312932.32570026669</v>
      </c>
      <c r="Z99" s="59">
        <f>+M99+P99+S99+V99</f>
        <v>512881.99006045365</v>
      </c>
      <c r="AA99" s="59">
        <f ca="1">+N99+Q99+T99+W99</f>
        <v>210766.97992008782</v>
      </c>
      <c r="AC99" s="40">
        <f ca="1">+Y99/L99</f>
        <v>2.7164264383703705</v>
      </c>
      <c r="AD99" s="40">
        <f>+Z99/$L99</f>
        <v>4.4521006081636605</v>
      </c>
      <c r="AE99" s="40">
        <f ca="1">+AA99/$L99</f>
        <v>1.8295744784729846</v>
      </c>
      <c r="AF99" s="40">
        <f ca="1">SUM(AC99:AE99)</f>
        <v>8.9981015250070158</v>
      </c>
      <c r="AG99" s="40" t="s">
        <v>378</v>
      </c>
      <c r="AH99" s="192">
        <f ca="1">+(AF99-AJ99)/AJ99</f>
        <v>-2.1094166588713707E-4</v>
      </c>
      <c r="AI99" s="40"/>
      <c r="AJ99" s="40">
        <f>VLOOKUP(E99,Syspro!$A$2:$F$91,6,FALSE)</f>
        <v>9</v>
      </c>
      <c r="AK99" s="40">
        <v>8.9699999999999989</v>
      </c>
      <c r="AL99" s="40">
        <v>8.4000027631457641</v>
      </c>
      <c r="AM99" s="40">
        <v>7.86</v>
      </c>
      <c r="AN99" s="40">
        <v>7.2600000000000007</v>
      </c>
      <c r="AO99" s="40">
        <v>6.9600000000000009</v>
      </c>
      <c r="AP99" s="40">
        <v>6.949492493670081</v>
      </c>
      <c r="AQ99" s="40">
        <v>7.2299999999999995</v>
      </c>
      <c r="AR99" s="40">
        <v>0</v>
      </c>
      <c r="AS99" s="40">
        <v>0</v>
      </c>
      <c r="AT99" s="40">
        <v>0</v>
      </c>
      <c r="AU99" s="40">
        <v>0</v>
      </c>
      <c r="AV99" s="40">
        <v>0</v>
      </c>
      <c r="AW99" s="40">
        <v>0</v>
      </c>
      <c r="AX99" s="40">
        <v>0</v>
      </c>
      <c r="AY99" s="40">
        <v>0</v>
      </c>
      <c r="AZ99" s="40">
        <v>0</v>
      </c>
      <c r="BB99" s="3">
        <f ca="1">(+AF99-AJ99)/AJ99</f>
        <v>-2.1094166588713707E-4</v>
      </c>
      <c r="BD99" s="40"/>
    </row>
    <row r="100" spans="1:56" x14ac:dyDescent="0.25">
      <c r="A100" s="7"/>
      <c r="B100" s="25" t="s">
        <v>1042</v>
      </c>
      <c r="C100" s="100">
        <f>SUM(C99)</f>
        <v>1289500</v>
      </c>
      <c r="D100" s="7">
        <f>SUM(D99)</f>
        <v>60</v>
      </c>
      <c r="E100" s="7"/>
      <c r="F100" s="43">
        <f>SUM(F99)</f>
        <v>1</v>
      </c>
      <c r="G100" s="38"/>
      <c r="AC100" s="189"/>
      <c r="AD100" s="189"/>
      <c r="AE100" s="189"/>
      <c r="AF100" s="190"/>
      <c r="AL100" s="190"/>
    </row>
    <row r="101" spans="1:56" x14ac:dyDescent="0.25">
      <c r="A101" s="7"/>
      <c r="B101" s="7"/>
      <c r="C101" s="38"/>
      <c r="D101" s="7"/>
      <c r="E101" s="7"/>
      <c r="F101" s="43"/>
      <c r="G101" s="38"/>
      <c r="AX101" s="40"/>
    </row>
    <row r="102" spans="1:56" ht="23.25" x14ac:dyDescent="0.35">
      <c r="A102" s="21" t="s">
        <v>476</v>
      </c>
      <c r="B102" s="7"/>
      <c r="C102" s="38"/>
      <c r="D102" s="7"/>
      <c r="E102" s="21" t="s">
        <v>476</v>
      </c>
      <c r="F102" s="43"/>
      <c r="G102" s="38"/>
      <c r="M102" s="39"/>
      <c r="N102" s="39"/>
      <c r="AX102" s="40"/>
    </row>
    <row r="103" spans="1:56" x14ac:dyDescent="0.25">
      <c r="A103" s="28" t="s">
        <v>414</v>
      </c>
      <c r="B103" s="7" t="s">
        <v>407</v>
      </c>
      <c r="C103" s="99">
        <f>+'Asset Allocation'!I227</f>
        <v>1148788.33</v>
      </c>
      <c r="D103" s="7">
        <v>65</v>
      </c>
      <c r="E103" s="212" t="s">
        <v>414</v>
      </c>
      <c r="F103" s="43">
        <v>4.5999999999999996</v>
      </c>
      <c r="G103" s="38">
        <f ca="1">SUMIF(Wages!$O$2:$AD$192,Calc!E103,Wages!$AD$2:$AD$192)</f>
        <v>1692844.016450987</v>
      </c>
      <c r="I103">
        <v>2.06</v>
      </c>
      <c r="J103" s="29">
        <f ca="1">+G103/L103</f>
        <v>3.1945275068896946</v>
      </c>
      <c r="L103" s="29">
        <f>+F103*40*48*60</f>
        <v>529920</v>
      </c>
      <c r="M103" s="59">
        <f>HLOOKUP($B$104,Overhead!$P:$P,M$1,FALSE)</f>
        <v>117694.87528029854</v>
      </c>
      <c r="N103" s="59">
        <f>HLOOKUP($B$104,Overhead!$P:$P,N$1,FALSE)</f>
        <v>7684.4905122994642</v>
      </c>
      <c r="P103" s="59">
        <f>HLOOKUP($B$104,Overhead!$P:$P,P$1,FALSE)</f>
        <v>21707.229818181819</v>
      </c>
      <c r="Q103" s="59">
        <f>HLOOKUP($B$104,Overhead!$P:$P,Q$1,FALSE)</f>
        <v>65306.704242705899</v>
      </c>
      <c r="S103" s="59">
        <f>HLOOKUP($B$104,Overhead!$P:$P,S$1,FALSE)</f>
        <v>373479.88496197329</v>
      </c>
      <c r="T103" s="59">
        <f>HLOOKUP($B$104,Overhead!$P:$P,T$1,FALSE)</f>
        <v>100001.26734545453</v>
      </c>
      <c r="W103" s="59">
        <f ca="1">HLOOKUP($B$104,Overhead!$P:$P,W$1,FALSE)</f>
        <v>37774.517819627916</v>
      </c>
      <c r="Y103" s="59">
        <f ca="1">+G103</f>
        <v>1692844.016450987</v>
      </c>
      <c r="Z103" s="59">
        <f>+M103+P103+S103+V103</f>
        <v>512881.99006045365</v>
      </c>
      <c r="AA103" s="59">
        <f ca="1">+N103+Q103+T103+W103</f>
        <v>210766.97992008782</v>
      </c>
      <c r="AC103" s="40">
        <f ca="1">+Y103/L103</f>
        <v>3.1945275068896946</v>
      </c>
      <c r="AD103" s="40">
        <f>+Z103/$L103</f>
        <v>0.96784795829644787</v>
      </c>
      <c r="AE103" s="40">
        <f ca="1">+AA103/$L103</f>
        <v>0.39773358227673578</v>
      </c>
      <c r="AF103" s="40">
        <f ca="1">SUM(AC103:AE103)</f>
        <v>4.5601090474628787</v>
      </c>
      <c r="AG103" s="40" t="s">
        <v>378</v>
      </c>
      <c r="AH103" s="192">
        <f ca="1">+(AF103-AJ103)/AJ103</f>
        <v>2.3913917297852846E-5</v>
      </c>
      <c r="AI103" s="40"/>
      <c r="AJ103" s="40">
        <f>VLOOKUP(E103,Syspro!$A$2:$F$91,6,FALSE)</f>
        <v>4.5600000000000005</v>
      </c>
      <c r="AK103" s="40">
        <v>4.55</v>
      </c>
      <c r="AL103" s="40">
        <v>5.0801160129464762</v>
      </c>
      <c r="AM103" s="40">
        <v>4.79</v>
      </c>
      <c r="AN103" s="40">
        <v>4.18</v>
      </c>
      <c r="AO103" s="40">
        <v>4.12</v>
      </c>
      <c r="AP103" s="40">
        <v>4.1202748613488316</v>
      </c>
      <c r="AQ103" s="40">
        <v>4.03</v>
      </c>
      <c r="AR103" s="40">
        <v>4.04</v>
      </c>
      <c r="AS103" s="40">
        <v>4.04</v>
      </c>
      <c r="AT103" s="40">
        <v>4.18</v>
      </c>
      <c r="AU103" s="40">
        <v>4.03</v>
      </c>
      <c r="AV103" s="40">
        <v>3.73</v>
      </c>
      <c r="AW103" s="40">
        <v>3.4985211806676451</v>
      </c>
      <c r="AX103" s="40">
        <v>3.3481014530549222</v>
      </c>
      <c r="AZ103">
        <v>2.5099999999999998</v>
      </c>
      <c r="BB103" s="3">
        <f ca="1">(+AF103-AJ103)/AJ103</f>
        <v>2.3913917297852846E-5</v>
      </c>
      <c r="BD103" s="40"/>
    </row>
    <row r="104" spans="1:56" x14ac:dyDescent="0.25">
      <c r="A104" s="7"/>
      <c r="B104" s="25" t="s">
        <v>476</v>
      </c>
      <c r="C104" s="100">
        <f>SUM(C103)</f>
        <v>1148788.33</v>
      </c>
      <c r="D104" s="7">
        <f>SUM(D103)</f>
        <v>65</v>
      </c>
      <c r="E104" s="7"/>
      <c r="F104" s="43">
        <f>SUM(F103)</f>
        <v>4.5999999999999996</v>
      </c>
      <c r="G104" s="38"/>
    </row>
    <row r="105" spans="1:56" x14ac:dyDescent="0.25">
      <c r="C105" s="29">
        <f ca="1">+C104+C88+C76++C68+C61+C54+C48+C51+C37+C34+C26+C23+C14+C100+C96</f>
        <v>19643069.43</v>
      </c>
      <c r="D105" s="29">
        <f>+D104+D88+D76+D68+D61+D54+D48+D51+D37+D34+D26+D23+D14+D100+D96</f>
        <v>2861</v>
      </c>
      <c r="F105" s="40">
        <f ca="1">+F14+F23+F25+F34+F36+F48+F50+F53+F61+F68+F76+F87+F103</f>
        <v>64.2</v>
      </c>
      <c r="M105" s="39"/>
      <c r="N105" s="39"/>
      <c r="O105" s="39"/>
      <c r="R105" s="39"/>
      <c r="S105" s="39"/>
      <c r="U105" s="39"/>
      <c r="V105" s="39"/>
      <c r="X105" s="39"/>
      <c r="Y105" s="39"/>
      <c r="Z105" s="39"/>
      <c r="AA105" s="39"/>
      <c r="AF105" s="179">
        <f ca="1">SUM(AF5:AF103)</f>
        <v>268.01233821669257</v>
      </c>
      <c r="AG105" s="179"/>
      <c r="AH105" s="192">
        <f ca="1">+(AF105-AJ105)/AJ105</f>
        <v>-5.5064805827682135E-4</v>
      </c>
      <c r="AI105" s="160"/>
      <c r="AJ105" s="179">
        <f>SUM(AJ5:AJ103)</f>
        <v>268.16000000000008</v>
      </c>
      <c r="AK105" s="179">
        <v>269.79000000000002</v>
      </c>
      <c r="AL105" s="179">
        <v>254.98529251242149</v>
      </c>
      <c r="AM105" s="179">
        <v>239.74000000000004</v>
      </c>
      <c r="AN105" s="179">
        <v>222.79</v>
      </c>
      <c r="AO105" s="179">
        <v>187.97000000000003</v>
      </c>
      <c r="AP105" s="179">
        <v>187.97512998648688</v>
      </c>
      <c r="AQ105" s="179">
        <v>188.50999999999996</v>
      </c>
      <c r="AR105" s="179">
        <v>162.19999999999999</v>
      </c>
      <c r="AS105" s="179">
        <v>165.14999999999998</v>
      </c>
      <c r="AT105" s="179">
        <v>168.11</v>
      </c>
      <c r="AU105" s="160"/>
      <c r="AV105" s="160"/>
      <c r="AW105" s="160"/>
      <c r="AX105" s="160"/>
      <c r="AY105" s="160"/>
      <c r="AZ105" s="160"/>
      <c r="BA105" s="160"/>
      <c r="BB105" s="180">
        <f ca="1">(+AF105-AJ105)/AJ105</f>
        <v>-5.5064805827682135E-4</v>
      </c>
    </row>
    <row r="106" spans="1:56" x14ac:dyDescent="0.25">
      <c r="D106" s="29"/>
      <c r="AF106" s="40"/>
      <c r="AG106" s="40"/>
      <c r="AH106" s="173"/>
      <c r="AL106" s="40"/>
    </row>
    <row r="107" spans="1:56" x14ac:dyDescent="0.25">
      <c r="B107" s="6" t="s">
        <v>1045</v>
      </c>
    </row>
    <row r="108" spans="1:56" x14ac:dyDescent="0.25">
      <c r="B108" t="s">
        <v>1046</v>
      </c>
      <c r="C108" s="39">
        <f ca="1">+C105-C37</f>
        <v>19597192.199999999</v>
      </c>
    </row>
    <row r="109" spans="1:56" x14ac:dyDescent="0.25">
      <c r="B109" t="s">
        <v>1047</v>
      </c>
      <c r="C109" s="39">
        <f>+'Asset Allocation'!K340</f>
        <v>19597192.200000003</v>
      </c>
    </row>
  </sheetData>
  <mergeCells count="4">
    <mergeCell ref="M2:N2"/>
    <mergeCell ref="P2:Q2"/>
    <mergeCell ref="S2:T2"/>
    <mergeCell ref="V2:W2"/>
  </mergeCells>
  <pageMargins left="0.7" right="0.7" top="0.75" bottom="0.75" header="0.3" footer="0.3"/>
  <pageSetup paperSize="9" scale="4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0"/>
  <sheetViews>
    <sheetView topLeftCell="A301" workbookViewId="0">
      <selection activeCell="B202" sqref="B202"/>
    </sheetView>
  </sheetViews>
  <sheetFormatPr defaultRowHeight="15" x14ac:dyDescent="0.25"/>
  <cols>
    <col min="2" max="2" width="47.85546875" bestFit="1" customWidth="1"/>
    <col min="3" max="3" width="10.7109375" style="96" bestFit="1" customWidth="1"/>
    <col min="4" max="4" width="11" bestFit="1" customWidth="1"/>
    <col min="5" max="5" width="9.7109375" bestFit="1" customWidth="1"/>
    <col min="9" max="9" width="11.28515625" style="39" bestFit="1" customWidth="1"/>
    <col min="11" max="11" width="22.140625" bestFit="1" customWidth="1"/>
    <col min="12" max="12" width="10.7109375" bestFit="1" customWidth="1"/>
    <col min="13" max="14" width="15.85546875" bestFit="1" customWidth="1"/>
    <col min="15" max="15" width="10.7109375" style="40" bestFit="1" customWidth="1"/>
    <col min="16" max="16" width="11.7109375" style="39" bestFit="1" customWidth="1"/>
    <col min="17" max="17" width="12.28515625" style="39" bestFit="1" customWidth="1"/>
    <col min="18" max="18" width="11.140625" style="39" bestFit="1" customWidth="1"/>
    <col min="19" max="19" width="9.140625" style="3"/>
  </cols>
  <sheetData>
    <row r="1" spans="1:19" ht="75" x14ac:dyDescent="0.25">
      <c r="A1" s="127" t="s">
        <v>448</v>
      </c>
      <c r="K1" t="s">
        <v>1043</v>
      </c>
      <c r="O1" s="40" t="s">
        <v>1374</v>
      </c>
      <c r="P1" s="184" t="s">
        <v>1375</v>
      </c>
      <c r="Q1" s="184" t="s">
        <v>1049</v>
      </c>
    </row>
    <row r="2" spans="1:19" x14ac:dyDescent="0.25">
      <c r="A2" t="s">
        <v>1111</v>
      </c>
      <c r="B2" t="s">
        <v>613</v>
      </c>
      <c r="C2" s="96">
        <v>42217</v>
      </c>
      <c r="D2">
        <v>6057.02</v>
      </c>
      <c r="F2" t="s">
        <v>415</v>
      </c>
      <c r="G2" t="s">
        <v>830</v>
      </c>
      <c r="H2">
        <v>1</v>
      </c>
      <c r="I2" s="39">
        <f t="shared" ref="I2:I4" si="0">+D2*H2</f>
        <v>6057.02</v>
      </c>
      <c r="N2" s="183">
        <f t="shared" ref="N2:N4" ca="1" si="1">NOW()</f>
        <v>46204.530793402781</v>
      </c>
      <c r="O2" s="40">
        <f ca="1">_xlfn.DAYS(N2,C2)/365</f>
        <v>10.923287671232877</v>
      </c>
      <c r="P2" s="39">
        <f ca="1">+O2*I2</f>
        <v>66162.571890410967</v>
      </c>
    </row>
    <row r="3" spans="1:19" x14ac:dyDescent="0.25">
      <c r="A3" t="s">
        <v>1112</v>
      </c>
      <c r="B3" t="s">
        <v>614</v>
      </c>
      <c r="C3" s="96">
        <v>42644</v>
      </c>
      <c r="D3">
        <v>12116.23</v>
      </c>
      <c r="F3" t="s">
        <v>415</v>
      </c>
      <c r="G3" t="s">
        <v>830</v>
      </c>
      <c r="H3">
        <v>1</v>
      </c>
      <c r="I3" s="39">
        <f t="shared" si="0"/>
        <v>12116.23</v>
      </c>
      <c r="N3" s="183">
        <f t="shared" ca="1" si="1"/>
        <v>46204.530793402781</v>
      </c>
      <c r="O3" s="40">
        <f t="shared" ref="O3:O4" ca="1" si="2">_xlfn.DAYS(N3,C3)/365</f>
        <v>9.7534246575342465</v>
      </c>
      <c r="P3" s="39">
        <f t="shared" ref="P3:P4" ca="1" si="3">+O3*I3</f>
        <v>118174.73643835617</v>
      </c>
    </row>
    <row r="4" spans="1:19" x14ac:dyDescent="0.25">
      <c r="A4" t="s">
        <v>1113</v>
      </c>
      <c r="B4" t="s">
        <v>616</v>
      </c>
      <c r="C4" s="96">
        <v>40848</v>
      </c>
      <c r="D4">
        <v>27703.98</v>
      </c>
      <c r="F4" t="s">
        <v>415</v>
      </c>
      <c r="G4" t="s">
        <v>830</v>
      </c>
      <c r="H4">
        <v>1</v>
      </c>
      <c r="I4" s="39">
        <f t="shared" si="0"/>
        <v>27703.98</v>
      </c>
      <c r="N4" s="183">
        <f t="shared" ca="1" si="1"/>
        <v>46204.530793402781</v>
      </c>
      <c r="O4" s="40">
        <f t="shared" ca="1" si="2"/>
        <v>14.673972602739726</v>
      </c>
      <c r="P4" s="39">
        <f t="shared" ca="1" si="3"/>
        <v>406527.44350684929</v>
      </c>
    </row>
    <row r="5" spans="1:19" x14ac:dyDescent="0.25">
      <c r="C5" s="127" t="s">
        <v>1001</v>
      </c>
      <c r="D5" s="58"/>
      <c r="E5" s="58"/>
      <c r="F5" s="58"/>
      <c r="G5" s="58"/>
      <c r="H5" s="58"/>
      <c r="I5" s="59">
        <f>SUM(I2:I4)</f>
        <v>45877.229999999996</v>
      </c>
      <c r="J5" s="39"/>
      <c r="K5" s="39"/>
      <c r="L5" s="96"/>
      <c r="M5" s="96"/>
      <c r="N5" s="183"/>
      <c r="Q5" s="39">
        <v>1</v>
      </c>
      <c r="R5" s="39">
        <f ca="1">SUM(P2:P4)*Q5</f>
        <v>590864.75183561642</v>
      </c>
      <c r="S5" s="3">
        <f ca="1">+R5/$R$338</f>
        <v>1.1013506433732768E-3</v>
      </c>
    </row>
    <row r="6" spans="1:19" x14ac:dyDescent="0.25">
      <c r="A6" s="127" t="s">
        <v>467</v>
      </c>
    </row>
    <row r="7" spans="1:19" x14ac:dyDescent="0.25">
      <c r="A7" t="s">
        <v>1114</v>
      </c>
      <c r="B7" t="s">
        <v>617</v>
      </c>
      <c r="C7" s="96">
        <v>41275</v>
      </c>
      <c r="D7">
        <v>3626679</v>
      </c>
      <c r="F7" t="s">
        <v>416</v>
      </c>
      <c r="G7" t="s">
        <v>829</v>
      </c>
      <c r="H7">
        <v>1</v>
      </c>
      <c r="I7" s="39">
        <f t="shared" ref="I7:I20" si="4">+D7*H7</f>
        <v>3626679</v>
      </c>
      <c r="N7" s="183">
        <f t="shared" ref="N7:N20" ca="1" si="5">NOW()</f>
        <v>46204.530793402781</v>
      </c>
      <c r="O7" s="40">
        <f t="shared" ref="O7:O20" ca="1" si="6">_xlfn.DAYS(N7,C7)/365</f>
        <v>13.504109589041096</v>
      </c>
      <c r="P7" s="39">
        <f t="shared" ref="P7:P20" ca="1" si="7">+O7*I7</f>
        <v>48975070.660273977</v>
      </c>
    </row>
    <row r="8" spans="1:19" x14ac:dyDescent="0.25">
      <c r="A8" t="s">
        <v>1115</v>
      </c>
      <c r="B8" t="s">
        <v>618</v>
      </c>
      <c r="C8" s="96">
        <v>42370</v>
      </c>
      <c r="D8">
        <v>124550</v>
      </c>
      <c r="F8" t="s">
        <v>416</v>
      </c>
      <c r="G8" t="s">
        <v>829</v>
      </c>
      <c r="H8">
        <v>1</v>
      </c>
      <c r="I8" s="39">
        <f t="shared" si="4"/>
        <v>124550</v>
      </c>
      <c r="N8" s="183">
        <f t="shared" ca="1" si="5"/>
        <v>46204.530793402781</v>
      </c>
      <c r="O8" s="40">
        <f t="shared" ca="1" si="6"/>
        <v>10.504109589041096</v>
      </c>
      <c r="P8" s="39">
        <f t="shared" ca="1" si="7"/>
        <v>1308286.8493150685</v>
      </c>
    </row>
    <row r="9" spans="1:19" x14ac:dyDescent="0.25">
      <c r="A9" t="s">
        <v>1116</v>
      </c>
      <c r="B9" t="s">
        <v>619</v>
      </c>
      <c r="C9" s="96">
        <v>42430</v>
      </c>
      <c r="D9">
        <v>33923</v>
      </c>
      <c r="F9" t="s">
        <v>416</v>
      </c>
      <c r="G9" t="s">
        <v>829</v>
      </c>
      <c r="H9">
        <v>1</v>
      </c>
      <c r="I9" s="39">
        <f t="shared" si="4"/>
        <v>33923</v>
      </c>
      <c r="N9" s="183">
        <f t="shared" ca="1" si="5"/>
        <v>46204.530793402781</v>
      </c>
      <c r="O9" s="40">
        <f t="shared" ca="1" si="6"/>
        <v>10.33972602739726</v>
      </c>
      <c r="P9" s="39">
        <f t="shared" ca="1" si="7"/>
        <v>350754.52602739725</v>
      </c>
    </row>
    <row r="10" spans="1:19" x14ac:dyDescent="0.25">
      <c r="A10" t="s">
        <v>1117</v>
      </c>
      <c r="B10" t="s">
        <v>620</v>
      </c>
      <c r="C10" s="96">
        <v>42522</v>
      </c>
      <c r="D10">
        <v>15057</v>
      </c>
      <c r="F10" t="s">
        <v>416</v>
      </c>
      <c r="G10" t="s">
        <v>829</v>
      </c>
      <c r="H10">
        <v>1</v>
      </c>
      <c r="I10" s="39">
        <f t="shared" si="4"/>
        <v>15057</v>
      </c>
      <c r="N10" s="183">
        <f t="shared" ca="1" si="5"/>
        <v>46204.530793402781</v>
      </c>
      <c r="O10" s="40">
        <f t="shared" ca="1" si="6"/>
        <v>10.087671232876712</v>
      </c>
      <c r="P10" s="39">
        <f t="shared" ca="1" si="7"/>
        <v>151890.06575342466</v>
      </c>
    </row>
    <row r="11" spans="1:19" x14ac:dyDescent="0.25">
      <c r="A11" t="s">
        <v>1118</v>
      </c>
      <c r="B11" t="s">
        <v>621</v>
      </c>
      <c r="C11" s="96">
        <v>40238</v>
      </c>
      <c r="D11">
        <v>10735</v>
      </c>
      <c r="F11" t="s">
        <v>416</v>
      </c>
      <c r="G11" t="s">
        <v>829</v>
      </c>
      <c r="H11">
        <v>1</v>
      </c>
      <c r="I11" s="39">
        <f t="shared" si="4"/>
        <v>10735</v>
      </c>
      <c r="N11" s="183">
        <f t="shared" ca="1" si="5"/>
        <v>46204.530793402781</v>
      </c>
      <c r="O11" s="40">
        <f t="shared" ca="1" si="6"/>
        <v>16.345205479452055</v>
      </c>
      <c r="P11" s="39">
        <f t="shared" ca="1" si="7"/>
        <v>175465.78082191781</v>
      </c>
    </row>
    <row r="12" spans="1:19" x14ac:dyDescent="0.25">
      <c r="A12" t="s">
        <v>1119</v>
      </c>
      <c r="B12" t="s">
        <v>622</v>
      </c>
      <c r="C12" s="96">
        <v>40330</v>
      </c>
      <c r="D12">
        <v>2707.5</v>
      </c>
      <c r="F12" t="s">
        <v>416</v>
      </c>
      <c r="G12" t="s">
        <v>829</v>
      </c>
      <c r="H12">
        <v>1</v>
      </c>
      <c r="I12" s="39">
        <f t="shared" si="4"/>
        <v>2707.5</v>
      </c>
      <c r="N12" s="183">
        <f t="shared" ca="1" si="5"/>
        <v>46204.530793402781</v>
      </c>
      <c r="O12" s="40">
        <f t="shared" ca="1" si="6"/>
        <v>16.093150684931508</v>
      </c>
      <c r="P12" s="39">
        <f t="shared" ca="1" si="7"/>
        <v>43572.205479452059</v>
      </c>
    </row>
    <row r="13" spans="1:19" x14ac:dyDescent="0.25">
      <c r="A13" t="s">
        <v>1120</v>
      </c>
      <c r="B13" t="s">
        <v>623</v>
      </c>
      <c r="C13" s="96">
        <v>41275</v>
      </c>
      <c r="D13">
        <v>327210</v>
      </c>
      <c r="F13" t="s">
        <v>416</v>
      </c>
      <c r="G13" t="s">
        <v>829</v>
      </c>
      <c r="H13">
        <v>1</v>
      </c>
      <c r="I13" s="39">
        <f t="shared" si="4"/>
        <v>327210</v>
      </c>
      <c r="N13" s="183">
        <f t="shared" ca="1" si="5"/>
        <v>46204.530793402781</v>
      </c>
      <c r="O13" s="40">
        <f t="shared" ca="1" si="6"/>
        <v>13.504109589041096</v>
      </c>
      <c r="P13" s="39">
        <f t="shared" ca="1" si="7"/>
        <v>4418679.6986301374</v>
      </c>
    </row>
    <row r="14" spans="1:19" x14ac:dyDescent="0.25">
      <c r="A14" t="s">
        <v>1121</v>
      </c>
      <c r="B14" t="s">
        <v>624</v>
      </c>
      <c r="C14" s="96">
        <v>41365</v>
      </c>
      <c r="D14">
        <v>12898</v>
      </c>
      <c r="F14" t="s">
        <v>416</v>
      </c>
      <c r="G14" t="s">
        <v>829</v>
      </c>
      <c r="H14">
        <v>1</v>
      </c>
      <c r="I14" s="39">
        <f t="shared" si="4"/>
        <v>12898</v>
      </c>
      <c r="N14" s="183">
        <f t="shared" ca="1" si="5"/>
        <v>46204.530793402781</v>
      </c>
      <c r="O14" s="40">
        <f t="shared" ca="1" si="6"/>
        <v>13.257534246575343</v>
      </c>
      <c r="P14" s="39">
        <f t="shared" ca="1" si="7"/>
        <v>170995.67671232877</v>
      </c>
    </row>
    <row r="15" spans="1:19" x14ac:dyDescent="0.25">
      <c r="A15" t="s">
        <v>1122</v>
      </c>
      <c r="B15" t="s">
        <v>625</v>
      </c>
      <c r="C15" s="96">
        <v>41456</v>
      </c>
      <c r="D15">
        <v>39817</v>
      </c>
      <c r="F15" t="s">
        <v>416</v>
      </c>
      <c r="G15" t="s">
        <v>829</v>
      </c>
      <c r="H15">
        <v>1</v>
      </c>
      <c r="I15" s="39">
        <f t="shared" si="4"/>
        <v>39817</v>
      </c>
      <c r="N15" s="183">
        <f t="shared" ca="1" si="5"/>
        <v>46204.530793402781</v>
      </c>
      <c r="O15" s="40">
        <f t="shared" ca="1" si="6"/>
        <v>13.008219178082191</v>
      </c>
      <c r="P15" s="39">
        <f t="shared" ca="1" si="7"/>
        <v>517948.26301369863</v>
      </c>
    </row>
    <row r="16" spans="1:19" x14ac:dyDescent="0.25">
      <c r="A16" t="s">
        <v>1123</v>
      </c>
      <c r="B16" t="s">
        <v>626</v>
      </c>
      <c r="C16" s="96">
        <v>41730</v>
      </c>
      <c r="D16">
        <v>8800</v>
      </c>
      <c r="F16" t="s">
        <v>416</v>
      </c>
      <c r="G16" t="s">
        <v>829</v>
      </c>
      <c r="H16">
        <v>1</v>
      </c>
      <c r="I16" s="39">
        <f t="shared" si="4"/>
        <v>8800</v>
      </c>
      <c r="N16" s="183">
        <f t="shared" ca="1" si="5"/>
        <v>46204.530793402781</v>
      </c>
      <c r="O16" s="40">
        <f t="shared" ca="1" si="6"/>
        <v>12.257534246575343</v>
      </c>
      <c r="P16" s="39">
        <f t="shared" ca="1" si="7"/>
        <v>107866.30136986302</v>
      </c>
    </row>
    <row r="17" spans="1:19" x14ac:dyDescent="0.25">
      <c r="A17" t="s">
        <v>1124</v>
      </c>
      <c r="B17" t="s">
        <v>627</v>
      </c>
      <c r="C17" s="96">
        <v>42156</v>
      </c>
      <c r="D17">
        <v>19300</v>
      </c>
      <c r="F17" t="s">
        <v>416</v>
      </c>
      <c r="G17" t="s">
        <v>829</v>
      </c>
      <c r="H17">
        <v>1</v>
      </c>
      <c r="I17" s="39">
        <f t="shared" si="4"/>
        <v>19300</v>
      </c>
      <c r="N17" s="183">
        <f t="shared" ca="1" si="5"/>
        <v>46204.530793402781</v>
      </c>
      <c r="O17" s="40">
        <f t="shared" ca="1" si="6"/>
        <v>11.09041095890411</v>
      </c>
      <c r="P17" s="39">
        <f t="shared" ca="1" si="7"/>
        <v>214044.93150684933</v>
      </c>
    </row>
    <row r="18" spans="1:19" x14ac:dyDescent="0.25">
      <c r="A18" t="s">
        <v>1125</v>
      </c>
      <c r="B18" t="s">
        <v>963</v>
      </c>
      <c r="C18" s="96">
        <v>43556</v>
      </c>
      <c r="D18">
        <v>22380</v>
      </c>
      <c r="F18" t="s">
        <v>416</v>
      </c>
      <c r="G18" t="s">
        <v>829</v>
      </c>
      <c r="H18">
        <v>1</v>
      </c>
      <c r="I18" s="39">
        <f t="shared" si="4"/>
        <v>22380</v>
      </c>
      <c r="N18" s="183">
        <f t="shared" ca="1" si="5"/>
        <v>46204.530793402781</v>
      </c>
      <c r="O18" s="40">
        <f t="shared" ca="1" si="6"/>
        <v>7.2547945205479456</v>
      </c>
      <c r="P18" s="39">
        <f t="shared" ca="1" si="7"/>
        <v>162362.30136986301</v>
      </c>
    </row>
    <row r="19" spans="1:19" x14ac:dyDescent="0.25">
      <c r="A19" s="123" t="s">
        <v>1126</v>
      </c>
      <c r="B19" s="123" t="s">
        <v>995</v>
      </c>
      <c r="C19" s="124">
        <v>44166</v>
      </c>
      <c r="D19" s="125">
        <v>38224.5</v>
      </c>
      <c r="F19" t="s">
        <v>416</v>
      </c>
      <c r="G19" t="s">
        <v>829</v>
      </c>
      <c r="H19">
        <v>1</v>
      </c>
      <c r="I19" s="39">
        <f t="shared" ref="I19" si="8">+D19*H19</f>
        <v>38224.5</v>
      </c>
      <c r="N19" s="183">
        <f t="shared" ca="1" si="5"/>
        <v>46204.530793402781</v>
      </c>
      <c r="O19" s="40">
        <f t="shared" ca="1" si="6"/>
        <v>5.5835616438356164</v>
      </c>
      <c r="P19" s="39">
        <f t="shared" ca="1" si="7"/>
        <v>213428.85205479452</v>
      </c>
    </row>
    <row r="20" spans="1:19" x14ac:dyDescent="0.25">
      <c r="A20" t="s">
        <v>1127</v>
      </c>
      <c r="B20" t="s">
        <v>628</v>
      </c>
      <c r="C20" s="96">
        <v>42401</v>
      </c>
      <c r="D20">
        <v>35000</v>
      </c>
      <c r="F20" t="s">
        <v>416</v>
      </c>
      <c r="G20" t="s">
        <v>829</v>
      </c>
      <c r="H20">
        <v>1</v>
      </c>
      <c r="I20" s="39">
        <f t="shared" si="4"/>
        <v>35000</v>
      </c>
      <c r="N20" s="183">
        <f t="shared" ca="1" si="5"/>
        <v>46204.530793402781</v>
      </c>
      <c r="O20" s="40">
        <f t="shared" ca="1" si="6"/>
        <v>10.419178082191781</v>
      </c>
      <c r="P20" s="39">
        <f t="shared" ca="1" si="7"/>
        <v>364671.23287671234</v>
      </c>
    </row>
    <row r="21" spans="1:19" x14ac:dyDescent="0.25">
      <c r="C21" s="154" t="s">
        <v>467</v>
      </c>
      <c r="D21" s="58"/>
      <c r="E21" s="58"/>
      <c r="F21" s="58"/>
      <c r="G21" s="58"/>
      <c r="H21" s="58"/>
      <c r="I21" s="59">
        <f>SUM(I7:I20)</f>
        <v>4317281</v>
      </c>
      <c r="J21" s="39" t="s">
        <v>378</v>
      </c>
      <c r="K21" s="39">
        <f>+I21</f>
        <v>4317281</v>
      </c>
      <c r="M21" s="96"/>
      <c r="N21" s="183"/>
      <c r="Q21" s="39">
        <v>4</v>
      </c>
      <c r="R21" s="39">
        <f ca="1">SUM(P7:P20)*Q21</f>
        <v>228700149.38082191</v>
      </c>
      <c r="S21" s="3">
        <f ca="1">+R21/$R$338</f>
        <v>0.42628885185252618</v>
      </c>
    </row>
    <row r="22" spans="1:19" x14ac:dyDescent="0.25">
      <c r="A22" s="127" t="s">
        <v>1128</v>
      </c>
    </row>
    <row r="23" spans="1:19" x14ac:dyDescent="0.25">
      <c r="A23" t="s">
        <v>1129</v>
      </c>
      <c r="B23" t="s">
        <v>629</v>
      </c>
      <c r="C23" s="96">
        <v>39387</v>
      </c>
      <c r="D23">
        <v>94000</v>
      </c>
      <c r="F23" t="s">
        <v>427</v>
      </c>
      <c r="G23" t="s">
        <v>828</v>
      </c>
      <c r="H23">
        <v>1</v>
      </c>
      <c r="I23" s="39">
        <f t="shared" ref="I23:I27" si="9">+D23*H23</f>
        <v>94000</v>
      </c>
      <c r="N23" s="183">
        <f t="shared" ref="N23:N27" ca="1" si="10">NOW()</f>
        <v>46204.530793402781</v>
      </c>
      <c r="O23" s="40">
        <f t="shared" ref="O23:O27" ca="1" si="11">_xlfn.DAYS(N23,C23)/365</f>
        <v>18.676712328767124</v>
      </c>
      <c r="P23" s="39">
        <f t="shared" ref="P23:P27" ca="1" si="12">+O23*I23</f>
        <v>1755610.9589041097</v>
      </c>
    </row>
    <row r="24" spans="1:19" x14ac:dyDescent="0.25">
      <c r="A24" t="s">
        <v>1130</v>
      </c>
      <c r="B24" t="s">
        <v>630</v>
      </c>
      <c r="C24" s="96">
        <v>38565</v>
      </c>
      <c r="D24">
        <v>2900</v>
      </c>
      <c r="F24" t="s">
        <v>429</v>
      </c>
      <c r="G24" t="s">
        <v>828</v>
      </c>
      <c r="H24">
        <v>1</v>
      </c>
      <c r="I24" s="39">
        <f t="shared" si="9"/>
        <v>2900</v>
      </c>
      <c r="N24" s="183">
        <f t="shared" ca="1" si="10"/>
        <v>46204.530793402781</v>
      </c>
      <c r="O24" s="40">
        <f t="shared" ca="1" si="11"/>
        <v>20.92876712328767</v>
      </c>
      <c r="P24" s="39">
        <f t="shared" ca="1" si="12"/>
        <v>60693.424657534248</v>
      </c>
    </row>
    <row r="25" spans="1:19" x14ac:dyDescent="0.25">
      <c r="A25" t="s">
        <v>1131</v>
      </c>
      <c r="B25" t="s">
        <v>631</v>
      </c>
      <c r="C25" s="96">
        <v>38565</v>
      </c>
      <c r="D25">
        <v>2900</v>
      </c>
      <c r="F25" t="s">
        <v>429</v>
      </c>
      <c r="G25" t="s">
        <v>828</v>
      </c>
      <c r="H25">
        <v>1</v>
      </c>
      <c r="I25" s="39">
        <f t="shared" si="9"/>
        <v>2900</v>
      </c>
      <c r="N25" s="183">
        <f t="shared" ca="1" si="10"/>
        <v>46204.530793402781</v>
      </c>
      <c r="O25" s="40">
        <f t="shared" ca="1" si="11"/>
        <v>20.92876712328767</v>
      </c>
      <c r="P25" s="39">
        <f t="shared" ca="1" si="12"/>
        <v>60693.424657534248</v>
      </c>
    </row>
    <row r="26" spans="1:19" x14ac:dyDescent="0.25">
      <c r="A26" t="s">
        <v>1132</v>
      </c>
      <c r="B26" t="s">
        <v>632</v>
      </c>
      <c r="C26" s="96">
        <v>39326</v>
      </c>
      <c r="D26">
        <v>126700</v>
      </c>
      <c r="F26" t="s">
        <v>429</v>
      </c>
      <c r="G26" t="s">
        <v>828</v>
      </c>
      <c r="H26">
        <v>1</v>
      </c>
      <c r="I26" s="39">
        <f t="shared" si="9"/>
        <v>126700</v>
      </c>
      <c r="N26" s="183">
        <f t="shared" ca="1" si="10"/>
        <v>46204.530793402781</v>
      </c>
      <c r="O26" s="40">
        <f t="shared" ca="1" si="11"/>
        <v>18.843835616438355</v>
      </c>
      <c r="P26" s="39">
        <f t="shared" ca="1" si="12"/>
        <v>2387513.9726027395</v>
      </c>
    </row>
    <row r="27" spans="1:19" x14ac:dyDescent="0.25">
      <c r="A27" t="s">
        <v>1133</v>
      </c>
      <c r="B27" t="s">
        <v>633</v>
      </c>
      <c r="C27" s="96">
        <v>37288</v>
      </c>
      <c r="D27">
        <v>5419.38</v>
      </c>
      <c r="F27" t="s">
        <v>418</v>
      </c>
      <c r="G27" t="s">
        <v>828</v>
      </c>
      <c r="H27">
        <v>1</v>
      </c>
      <c r="I27" s="39">
        <f t="shared" si="9"/>
        <v>5419.38</v>
      </c>
      <c r="N27" s="183">
        <f t="shared" ca="1" si="10"/>
        <v>46204.530793402781</v>
      </c>
      <c r="O27" s="40">
        <f t="shared" ca="1" si="11"/>
        <v>24.427397260273974</v>
      </c>
      <c r="P27" s="39">
        <f t="shared" ca="1" si="12"/>
        <v>132381.34816438358</v>
      </c>
    </row>
    <row r="28" spans="1:19" x14ac:dyDescent="0.25">
      <c r="C28" s="46" t="s">
        <v>468</v>
      </c>
      <c r="D28" s="58"/>
      <c r="E28" s="58"/>
      <c r="F28" s="58"/>
      <c r="G28" s="58"/>
      <c r="H28" s="58"/>
      <c r="I28" s="59">
        <f>SUM(I23:I27)</f>
        <v>231919.38</v>
      </c>
      <c r="J28" s="39" t="s">
        <v>378</v>
      </c>
      <c r="K28" s="39">
        <f>+I28</f>
        <v>231919.38</v>
      </c>
      <c r="M28" s="96"/>
      <c r="N28" s="183"/>
      <c r="Q28" s="39">
        <v>1</v>
      </c>
      <c r="R28" s="39">
        <f ca="1">SUM(P14:P27)*Q28</f>
        <v>6148210.6878904104</v>
      </c>
      <c r="S28" s="3">
        <f ca="1">+R28/$R$338</f>
        <v>1.1460043564396618E-2</v>
      </c>
    </row>
    <row r="29" spans="1:19" x14ac:dyDescent="0.25">
      <c r="J29" s="39"/>
    </row>
    <row r="31" spans="1:19" x14ac:dyDescent="0.25">
      <c r="A31" s="126" t="s">
        <v>845</v>
      </c>
    </row>
    <row r="32" spans="1:19" x14ac:dyDescent="0.25">
      <c r="A32" t="s">
        <v>1134</v>
      </c>
      <c r="B32" t="s">
        <v>634</v>
      </c>
      <c r="C32" s="96">
        <v>39173</v>
      </c>
      <c r="D32">
        <v>7850</v>
      </c>
      <c r="F32" t="s">
        <v>420</v>
      </c>
      <c r="G32" t="s">
        <v>829</v>
      </c>
      <c r="H32">
        <v>1</v>
      </c>
      <c r="I32" s="39">
        <f t="shared" ref="I32:I66" si="13">+D32*H32</f>
        <v>7850</v>
      </c>
      <c r="N32" s="183">
        <f t="shared" ref="N32:N66" ca="1" si="14">NOW()</f>
        <v>46204.530793402781</v>
      </c>
      <c r="O32" s="40">
        <f t="shared" ref="O32" ca="1" si="15">_xlfn.DAYS(N32,C32)/365</f>
        <v>19.263013698630136</v>
      </c>
      <c r="P32" s="39">
        <f t="shared" ref="P32" ca="1" si="16">+O32*I32</f>
        <v>151214.65753424657</v>
      </c>
    </row>
    <row r="33" spans="1:16" x14ac:dyDescent="0.25">
      <c r="A33" t="s">
        <v>1135</v>
      </c>
      <c r="B33" t="s">
        <v>635</v>
      </c>
      <c r="C33" s="96">
        <v>39326</v>
      </c>
      <c r="D33">
        <v>8770</v>
      </c>
      <c r="F33" t="s">
        <v>420</v>
      </c>
      <c r="G33" t="s">
        <v>829</v>
      </c>
      <c r="H33">
        <v>1</v>
      </c>
      <c r="I33" s="39">
        <f t="shared" si="13"/>
        <v>8770</v>
      </c>
      <c r="N33" s="183">
        <f t="shared" ca="1" si="14"/>
        <v>46204.530793402781</v>
      </c>
      <c r="O33" s="40">
        <f t="shared" ref="O33:O66" ca="1" si="17">_xlfn.DAYS(N33,C33)/365</f>
        <v>18.843835616438355</v>
      </c>
      <c r="P33" s="39">
        <f t="shared" ref="P33:P66" ca="1" si="18">+O33*I33</f>
        <v>165260.43835616438</v>
      </c>
    </row>
    <row r="34" spans="1:16" x14ac:dyDescent="0.25">
      <c r="A34" s="123" t="s">
        <v>1136</v>
      </c>
      <c r="B34" s="123" t="s">
        <v>844</v>
      </c>
      <c r="C34" s="124">
        <v>43040</v>
      </c>
      <c r="D34" s="125">
        <v>7578.11</v>
      </c>
      <c r="F34" t="s">
        <v>420</v>
      </c>
      <c r="G34" t="s">
        <v>829</v>
      </c>
      <c r="H34">
        <v>1</v>
      </c>
      <c r="I34" s="39">
        <f t="shared" si="13"/>
        <v>7578.11</v>
      </c>
      <c r="N34" s="183">
        <f t="shared" ca="1" si="14"/>
        <v>46204.530793402781</v>
      </c>
      <c r="O34" s="40">
        <f t="shared" ca="1" si="17"/>
        <v>8.668493150684931</v>
      </c>
      <c r="P34" s="39">
        <f t="shared" ca="1" si="18"/>
        <v>65690.794630136981</v>
      </c>
    </row>
    <row r="35" spans="1:16" x14ac:dyDescent="0.25">
      <c r="A35" s="123" t="s">
        <v>1137</v>
      </c>
      <c r="B35" s="123" t="s">
        <v>972</v>
      </c>
      <c r="C35" s="124">
        <v>44075</v>
      </c>
      <c r="D35" s="125">
        <v>13042.61</v>
      </c>
      <c r="F35" t="s">
        <v>420</v>
      </c>
      <c r="H35">
        <v>1</v>
      </c>
      <c r="I35" s="39">
        <f t="shared" si="13"/>
        <v>13042.61</v>
      </c>
      <c r="N35" s="183">
        <f t="shared" ca="1" si="14"/>
        <v>46204.530793402781</v>
      </c>
      <c r="O35" s="40">
        <f t="shared" ca="1" si="17"/>
        <v>5.8328767123287673</v>
      </c>
      <c r="P35" s="39">
        <f t="shared" ca="1" si="18"/>
        <v>76075.936136986304</v>
      </c>
    </row>
    <row r="36" spans="1:16" x14ac:dyDescent="0.25">
      <c r="A36" s="123" t="s">
        <v>1138</v>
      </c>
      <c r="B36" s="123" t="s">
        <v>836</v>
      </c>
      <c r="C36" s="124">
        <v>43282</v>
      </c>
      <c r="D36" s="125">
        <v>5647.83</v>
      </c>
      <c r="F36" t="s">
        <v>408</v>
      </c>
      <c r="G36" t="s">
        <v>829</v>
      </c>
      <c r="H36">
        <v>1</v>
      </c>
      <c r="I36" s="39">
        <f t="shared" si="13"/>
        <v>5647.83</v>
      </c>
      <c r="N36" s="183">
        <f t="shared" ca="1" si="14"/>
        <v>46204.530793402781</v>
      </c>
      <c r="O36" s="40">
        <f t="shared" ca="1" si="17"/>
        <v>8.0054794520547947</v>
      </c>
      <c r="P36" s="39">
        <f t="shared" ca="1" si="18"/>
        <v>45213.587013698634</v>
      </c>
    </row>
    <row r="37" spans="1:16" x14ac:dyDescent="0.25">
      <c r="A37" t="s">
        <v>1139</v>
      </c>
      <c r="B37" t="s">
        <v>636</v>
      </c>
      <c r="C37" s="96">
        <v>40787</v>
      </c>
      <c r="D37">
        <v>11135</v>
      </c>
      <c r="F37" t="s">
        <v>423</v>
      </c>
      <c r="G37" t="s">
        <v>829</v>
      </c>
      <c r="H37">
        <v>1</v>
      </c>
      <c r="I37" s="39">
        <f t="shared" si="13"/>
        <v>11135</v>
      </c>
      <c r="N37" s="183">
        <f t="shared" ca="1" si="14"/>
        <v>46204.530793402781</v>
      </c>
      <c r="O37" s="40">
        <f t="shared" ca="1" si="17"/>
        <v>14.841095890410958</v>
      </c>
      <c r="P37" s="39">
        <f t="shared" ca="1" si="18"/>
        <v>165255.60273972602</v>
      </c>
    </row>
    <row r="38" spans="1:16" x14ac:dyDescent="0.25">
      <c r="A38" t="s">
        <v>1140</v>
      </c>
      <c r="B38" t="s">
        <v>637</v>
      </c>
      <c r="C38" s="96">
        <v>41395</v>
      </c>
      <c r="D38">
        <v>8000</v>
      </c>
      <c r="F38" t="s">
        <v>423</v>
      </c>
      <c r="G38" t="s">
        <v>829</v>
      </c>
      <c r="H38">
        <v>1</v>
      </c>
      <c r="I38" s="39">
        <f t="shared" si="13"/>
        <v>8000</v>
      </c>
      <c r="N38" s="183">
        <f t="shared" ca="1" si="14"/>
        <v>46204.530793402781</v>
      </c>
      <c r="O38" s="40">
        <f t="shared" ca="1" si="17"/>
        <v>13.175342465753424</v>
      </c>
      <c r="P38" s="39">
        <f t="shared" ca="1" si="18"/>
        <v>105402.73972602739</v>
      </c>
    </row>
    <row r="39" spans="1:16" x14ac:dyDescent="0.25">
      <c r="A39" t="s">
        <v>1141</v>
      </c>
      <c r="B39" t="s">
        <v>638</v>
      </c>
      <c r="C39" s="96">
        <v>39539</v>
      </c>
      <c r="D39">
        <v>9188</v>
      </c>
      <c r="F39" t="s">
        <v>423</v>
      </c>
      <c r="G39" t="s">
        <v>829</v>
      </c>
      <c r="H39">
        <v>1</v>
      </c>
      <c r="I39" s="39">
        <f t="shared" si="13"/>
        <v>9188</v>
      </c>
      <c r="N39" s="183">
        <f t="shared" ca="1" si="14"/>
        <v>46204.530793402781</v>
      </c>
      <c r="O39" s="40">
        <f t="shared" ca="1" si="17"/>
        <v>18.260273972602739</v>
      </c>
      <c r="P39" s="39">
        <f t="shared" ca="1" si="18"/>
        <v>167775.39726027398</v>
      </c>
    </row>
    <row r="40" spans="1:16" x14ac:dyDescent="0.25">
      <c r="A40" t="s">
        <v>1142</v>
      </c>
      <c r="B40" t="s">
        <v>994</v>
      </c>
      <c r="C40" s="96">
        <v>38626</v>
      </c>
      <c r="D40">
        <v>4672.24</v>
      </c>
      <c r="F40" t="s">
        <v>423</v>
      </c>
      <c r="H40">
        <v>1</v>
      </c>
      <c r="I40" s="39">
        <f t="shared" si="13"/>
        <v>4672.24</v>
      </c>
      <c r="N40" s="183">
        <f t="shared" ca="1" si="14"/>
        <v>46204.530793402781</v>
      </c>
      <c r="O40" s="40">
        <f t="shared" ca="1" si="17"/>
        <v>20.761643835616439</v>
      </c>
      <c r="P40" s="39">
        <f t="shared" ca="1" si="18"/>
        <v>97003.382794520556</v>
      </c>
    </row>
    <row r="41" spans="1:16" x14ac:dyDescent="0.25">
      <c r="A41" t="s">
        <v>1143</v>
      </c>
      <c r="B41" t="s">
        <v>639</v>
      </c>
      <c r="C41" s="96">
        <v>39142</v>
      </c>
      <c r="D41">
        <v>22797</v>
      </c>
      <c r="F41" t="s">
        <v>454</v>
      </c>
      <c r="G41" t="s">
        <v>829</v>
      </c>
      <c r="H41">
        <v>1</v>
      </c>
      <c r="I41" s="39">
        <f t="shared" si="13"/>
        <v>22797</v>
      </c>
      <c r="N41" s="183">
        <f t="shared" ca="1" si="14"/>
        <v>46204.530793402781</v>
      </c>
      <c r="O41" s="40">
        <f t="shared" ca="1" si="17"/>
        <v>19.347945205479451</v>
      </c>
      <c r="P41" s="39">
        <f t="shared" ca="1" si="18"/>
        <v>441075.10684931505</v>
      </c>
    </row>
    <row r="42" spans="1:16" x14ac:dyDescent="0.25">
      <c r="A42" t="s">
        <v>1144</v>
      </c>
      <c r="B42" t="s">
        <v>640</v>
      </c>
      <c r="C42" s="96">
        <v>39264</v>
      </c>
      <c r="D42">
        <v>5470</v>
      </c>
      <c r="F42" t="s">
        <v>454</v>
      </c>
      <c r="G42" t="s">
        <v>829</v>
      </c>
      <c r="H42">
        <v>1</v>
      </c>
      <c r="I42" s="39">
        <f t="shared" si="13"/>
        <v>5470</v>
      </c>
      <c r="N42" s="183">
        <f t="shared" ca="1" si="14"/>
        <v>46204.530793402781</v>
      </c>
      <c r="O42" s="40">
        <f t="shared" ca="1" si="17"/>
        <v>19.013698630136986</v>
      </c>
      <c r="P42" s="39">
        <f t="shared" ca="1" si="18"/>
        <v>104004.93150684932</v>
      </c>
    </row>
    <row r="43" spans="1:16" x14ac:dyDescent="0.25">
      <c r="A43" t="s">
        <v>1145</v>
      </c>
      <c r="B43" t="s">
        <v>641</v>
      </c>
      <c r="C43" s="96">
        <v>41183</v>
      </c>
      <c r="D43">
        <v>9500</v>
      </c>
      <c r="F43" t="s">
        <v>454</v>
      </c>
      <c r="G43" t="s">
        <v>829</v>
      </c>
      <c r="H43">
        <v>1</v>
      </c>
      <c r="I43" s="39">
        <f t="shared" si="13"/>
        <v>9500</v>
      </c>
      <c r="N43" s="183">
        <f t="shared" ca="1" si="14"/>
        <v>46204.530793402781</v>
      </c>
      <c r="O43" s="40">
        <f t="shared" ca="1" si="17"/>
        <v>13.756164383561643</v>
      </c>
      <c r="P43" s="39">
        <f t="shared" ca="1" si="18"/>
        <v>130683.56164383561</v>
      </c>
    </row>
    <row r="44" spans="1:16" x14ac:dyDescent="0.25">
      <c r="A44" t="s">
        <v>1146</v>
      </c>
      <c r="B44" t="s">
        <v>642</v>
      </c>
      <c r="C44" s="96">
        <v>41306</v>
      </c>
      <c r="D44">
        <v>36193</v>
      </c>
      <c r="F44" t="s">
        <v>454</v>
      </c>
      <c r="G44" t="s">
        <v>829</v>
      </c>
      <c r="H44">
        <v>1</v>
      </c>
      <c r="I44" s="39">
        <f t="shared" si="13"/>
        <v>36193</v>
      </c>
      <c r="N44" s="183">
        <f t="shared" ca="1" si="14"/>
        <v>46204.530793402781</v>
      </c>
      <c r="O44" s="40">
        <f t="shared" ca="1" si="17"/>
        <v>13.419178082191781</v>
      </c>
      <c r="P44" s="39">
        <f t="shared" ca="1" si="18"/>
        <v>485680.31232876715</v>
      </c>
    </row>
    <row r="45" spans="1:16" x14ac:dyDescent="0.25">
      <c r="A45" s="141" t="s">
        <v>1147</v>
      </c>
      <c r="B45" s="141" t="s">
        <v>964</v>
      </c>
      <c r="C45" s="142">
        <v>43525</v>
      </c>
      <c r="D45" s="143">
        <v>19020</v>
      </c>
      <c r="E45" s="140"/>
      <c r="F45" s="140" t="s">
        <v>454</v>
      </c>
      <c r="G45" s="140" t="s">
        <v>829</v>
      </c>
      <c r="H45" s="140">
        <v>1</v>
      </c>
      <c r="I45" s="39">
        <f t="shared" si="13"/>
        <v>19020</v>
      </c>
      <c r="N45" s="183">
        <f t="shared" ca="1" si="14"/>
        <v>46204.530793402781</v>
      </c>
      <c r="O45" s="40">
        <f t="shared" ca="1" si="17"/>
        <v>7.3397260273972602</v>
      </c>
      <c r="P45" s="39">
        <f t="shared" ca="1" si="18"/>
        <v>139601.5890410959</v>
      </c>
    </row>
    <row r="46" spans="1:16" x14ac:dyDescent="0.25">
      <c r="A46" t="s">
        <v>1148</v>
      </c>
      <c r="B46" t="s">
        <v>643</v>
      </c>
      <c r="C46" s="96">
        <v>42401</v>
      </c>
      <c r="D46">
        <v>87956</v>
      </c>
      <c r="F46" t="s">
        <v>454</v>
      </c>
      <c r="G46" t="s">
        <v>829</v>
      </c>
      <c r="H46">
        <v>1</v>
      </c>
      <c r="I46" s="39">
        <f t="shared" si="13"/>
        <v>87956</v>
      </c>
      <c r="N46" s="183">
        <f t="shared" ca="1" si="14"/>
        <v>46204.530793402781</v>
      </c>
      <c r="O46" s="40">
        <f t="shared" ca="1" si="17"/>
        <v>10.419178082191781</v>
      </c>
      <c r="P46" s="39">
        <f t="shared" ca="1" si="18"/>
        <v>916429.22739726026</v>
      </c>
    </row>
    <row r="47" spans="1:16" x14ac:dyDescent="0.25">
      <c r="A47" t="s">
        <v>1149</v>
      </c>
      <c r="B47" t="s">
        <v>644</v>
      </c>
      <c r="C47" s="96">
        <v>38384</v>
      </c>
      <c r="D47">
        <v>24000</v>
      </c>
      <c r="F47" t="s">
        <v>422</v>
      </c>
      <c r="G47" t="s">
        <v>829</v>
      </c>
      <c r="H47">
        <v>1</v>
      </c>
      <c r="I47" s="39">
        <f t="shared" si="13"/>
        <v>24000</v>
      </c>
      <c r="N47" s="183">
        <f t="shared" ca="1" si="14"/>
        <v>46204.530793402781</v>
      </c>
      <c r="O47" s="40">
        <f t="shared" ca="1" si="17"/>
        <v>21.424657534246574</v>
      </c>
      <c r="P47" s="39">
        <f t="shared" ca="1" si="18"/>
        <v>514191.78082191775</v>
      </c>
    </row>
    <row r="48" spans="1:16" x14ac:dyDescent="0.25">
      <c r="A48" t="s">
        <v>1150</v>
      </c>
      <c r="B48" t="s">
        <v>645</v>
      </c>
      <c r="C48" s="96">
        <v>38411</v>
      </c>
      <c r="D48">
        <v>4320</v>
      </c>
      <c r="F48" t="s">
        <v>422</v>
      </c>
      <c r="G48" t="s">
        <v>829</v>
      </c>
      <c r="H48">
        <v>1</v>
      </c>
      <c r="I48" s="39">
        <f t="shared" si="13"/>
        <v>4320</v>
      </c>
      <c r="N48" s="183">
        <f t="shared" ca="1" si="14"/>
        <v>46204.530793402781</v>
      </c>
      <c r="O48" s="40">
        <f t="shared" ca="1" si="17"/>
        <v>21.350684931506848</v>
      </c>
      <c r="P48" s="39">
        <f t="shared" ca="1" si="18"/>
        <v>92234.95890410959</v>
      </c>
    </row>
    <row r="49" spans="1:16" x14ac:dyDescent="0.25">
      <c r="A49" t="s">
        <v>1151</v>
      </c>
      <c r="B49" t="s">
        <v>646</v>
      </c>
      <c r="C49" s="96">
        <v>39995</v>
      </c>
      <c r="D49">
        <v>15731</v>
      </c>
      <c r="F49" t="s">
        <v>422</v>
      </c>
      <c r="G49" t="s">
        <v>829</v>
      </c>
      <c r="H49">
        <v>1</v>
      </c>
      <c r="I49" s="39">
        <f t="shared" si="13"/>
        <v>15731</v>
      </c>
      <c r="N49" s="183">
        <f t="shared" ca="1" si="14"/>
        <v>46204.530793402781</v>
      </c>
      <c r="O49" s="40">
        <f t="shared" ca="1" si="17"/>
        <v>17.010958904109589</v>
      </c>
      <c r="P49" s="39">
        <f t="shared" ca="1" si="18"/>
        <v>267599.39452054794</v>
      </c>
    </row>
    <row r="50" spans="1:16" x14ac:dyDescent="0.25">
      <c r="A50" t="s">
        <v>1152</v>
      </c>
      <c r="B50" t="s">
        <v>647</v>
      </c>
      <c r="C50" s="96">
        <v>40118</v>
      </c>
      <c r="D50">
        <v>12800</v>
      </c>
      <c r="F50" t="s">
        <v>422</v>
      </c>
      <c r="G50" t="s">
        <v>829</v>
      </c>
      <c r="H50">
        <v>1</v>
      </c>
      <c r="I50" s="39">
        <f t="shared" si="13"/>
        <v>12800</v>
      </c>
      <c r="N50" s="183">
        <f t="shared" ca="1" si="14"/>
        <v>46204.530793402781</v>
      </c>
      <c r="O50" s="40">
        <f t="shared" ca="1" si="17"/>
        <v>16.673972602739727</v>
      </c>
      <c r="P50" s="39">
        <f t="shared" ca="1" si="18"/>
        <v>213426.84931506851</v>
      </c>
    </row>
    <row r="51" spans="1:16" x14ac:dyDescent="0.25">
      <c r="A51" t="s">
        <v>1153</v>
      </c>
      <c r="B51" t="s">
        <v>648</v>
      </c>
      <c r="C51" s="96">
        <v>40026</v>
      </c>
      <c r="D51">
        <v>3997</v>
      </c>
      <c r="F51" t="s">
        <v>422</v>
      </c>
      <c r="G51" t="s">
        <v>829</v>
      </c>
      <c r="H51">
        <v>1</v>
      </c>
      <c r="I51" s="39">
        <f t="shared" si="13"/>
        <v>3997</v>
      </c>
      <c r="N51" s="183">
        <f t="shared" ca="1" si="14"/>
        <v>46204.530793402781</v>
      </c>
      <c r="O51" s="40">
        <f t="shared" ca="1" si="17"/>
        <v>16.926027397260274</v>
      </c>
      <c r="P51" s="39">
        <f t="shared" ca="1" si="18"/>
        <v>67653.33150684931</v>
      </c>
    </row>
    <row r="52" spans="1:16" x14ac:dyDescent="0.25">
      <c r="A52" t="s">
        <v>1154</v>
      </c>
      <c r="B52" t="s">
        <v>649</v>
      </c>
      <c r="C52" s="96">
        <v>40087</v>
      </c>
      <c r="D52">
        <v>4212</v>
      </c>
      <c r="F52" t="s">
        <v>422</v>
      </c>
      <c r="G52" t="s">
        <v>829</v>
      </c>
      <c r="H52">
        <v>1</v>
      </c>
      <c r="I52" s="39">
        <f t="shared" si="13"/>
        <v>4212</v>
      </c>
      <c r="N52" s="183">
        <f t="shared" ca="1" si="14"/>
        <v>46204.530793402781</v>
      </c>
      <c r="O52" s="40">
        <f t="shared" ca="1" si="17"/>
        <v>16.758904109589039</v>
      </c>
      <c r="P52" s="39">
        <f t="shared" ca="1" si="18"/>
        <v>70588.504109589034</v>
      </c>
    </row>
    <row r="53" spans="1:16" x14ac:dyDescent="0.25">
      <c r="A53" t="s">
        <v>1155</v>
      </c>
      <c r="B53" t="s">
        <v>650</v>
      </c>
      <c r="C53" s="96">
        <v>40087</v>
      </c>
      <c r="D53">
        <v>6904</v>
      </c>
      <c r="F53" t="s">
        <v>422</v>
      </c>
      <c r="G53" t="s">
        <v>829</v>
      </c>
      <c r="H53">
        <v>1</v>
      </c>
      <c r="I53" s="39">
        <f t="shared" si="13"/>
        <v>6904</v>
      </c>
      <c r="N53" s="183">
        <f t="shared" ca="1" si="14"/>
        <v>46204.530793402781</v>
      </c>
      <c r="O53" s="40">
        <f t="shared" ca="1" si="17"/>
        <v>16.758904109589039</v>
      </c>
      <c r="P53" s="39">
        <f t="shared" ca="1" si="18"/>
        <v>115703.47397260273</v>
      </c>
    </row>
    <row r="54" spans="1:16" x14ac:dyDescent="0.25">
      <c r="A54" t="s">
        <v>1156</v>
      </c>
      <c r="B54" t="s">
        <v>651</v>
      </c>
      <c r="C54" s="96">
        <v>41609</v>
      </c>
      <c r="D54">
        <v>5609</v>
      </c>
      <c r="F54" t="s">
        <v>422</v>
      </c>
      <c r="G54" t="s">
        <v>829</v>
      </c>
      <c r="H54">
        <v>1</v>
      </c>
      <c r="I54" s="39">
        <f t="shared" si="13"/>
        <v>5609</v>
      </c>
      <c r="N54" s="183">
        <f t="shared" ca="1" si="14"/>
        <v>46204.530793402781</v>
      </c>
      <c r="O54" s="40">
        <f t="shared" ca="1" si="17"/>
        <v>12.58904109589041</v>
      </c>
      <c r="P54" s="39">
        <f t="shared" ca="1" si="18"/>
        <v>70611.931506849316</v>
      </c>
    </row>
    <row r="55" spans="1:16" x14ac:dyDescent="0.25">
      <c r="A55" t="s">
        <v>1157</v>
      </c>
      <c r="B55" t="s">
        <v>652</v>
      </c>
      <c r="C55" s="96">
        <v>42370</v>
      </c>
      <c r="D55">
        <v>33670</v>
      </c>
      <c r="F55" t="s">
        <v>422</v>
      </c>
      <c r="G55" t="s">
        <v>829</v>
      </c>
      <c r="H55">
        <v>1</v>
      </c>
      <c r="I55" s="39">
        <f t="shared" si="13"/>
        <v>33670</v>
      </c>
      <c r="N55" s="183">
        <f t="shared" ca="1" si="14"/>
        <v>46204.530793402781</v>
      </c>
      <c r="O55" s="40">
        <f t="shared" ca="1" si="17"/>
        <v>10.504109589041096</v>
      </c>
      <c r="P55" s="39">
        <f t="shared" ca="1" si="18"/>
        <v>353673.36986301374</v>
      </c>
    </row>
    <row r="56" spans="1:16" x14ac:dyDescent="0.25">
      <c r="A56" t="s">
        <v>1158</v>
      </c>
      <c r="B56" t="s">
        <v>653</v>
      </c>
      <c r="C56" s="96">
        <v>42370</v>
      </c>
      <c r="D56">
        <v>14745</v>
      </c>
      <c r="F56" t="s">
        <v>422</v>
      </c>
      <c r="G56" t="s">
        <v>829</v>
      </c>
      <c r="H56">
        <v>1</v>
      </c>
      <c r="I56" s="39">
        <f t="shared" si="13"/>
        <v>14745</v>
      </c>
      <c r="N56" s="183">
        <f t="shared" ca="1" si="14"/>
        <v>46204.530793402781</v>
      </c>
      <c r="O56" s="40">
        <f t="shared" ca="1" si="17"/>
        <v>10.504109589041096</v>
      </c>
      <c r="P56" s="39">
        <f t="shared" ca="1" si="18"/>
        <v>154883.09589041097</v>
      </c>
    </row>
    <row r="57" spans="1:16" x14ac:dyDescent="0.25">
      <c r="A57" t="s">
        <v>1159</v>
      </c>
      <c r="B57" t="s">
        <v>654</v>
      </c>
      <c r="C57" s="96">
        <v>42095</v>
      </c>
      <c r="D57">
        <v>74200</v>
      </c>
      <c r="F57" t="s">
        <v>422</v>
      </c>
      <c r="G57" t="s">
        <v>829</v>
      </c>
      <c r="H57">
        <v>1</v>
      </c>
      <c r="I57" s="39">
        <f t="shared" si="13"/>
        <v>74200</v>
      </c>
      <c r="N57" s="183">
        <f t="shared" ca="1" si="14"/>
        <v>46204.530793402781</v>
      </c>
      <c r="O57" s="40">
        <f t="shared" ca="1" si="17"/>
        <v>11.257534246575343</v>
      </c>
      <c r="P57" s="39">
        <f t="shared" ca="1" si="18"/>
        <v>835309.04109589045</v>
      </c>
    </row>
    <row r="58" spans="1:16" x14ac:dyDescent="0.25">
      <c r="A58" t="s">
        <v>1160</v>
      </c>
      <c r="B58" t="s">
        <v>655</v>
      </c>
      <c r="C58" s="96">
        <v>42401</v>
      </c>
      <c r="D58">
        <v>28370</v>
      </c>
      <c r="F58" t="s">
        <v>422</v>
      </c>
      <c r="G58" t="s">
        <v>829</v>
      </c>
      <c r="H58">
        <v>1</v>
      </c>
      <c r="I58" s="39">
        <f t="shared" si="13"/>
        <v>28370</v>
      </c>
      <c r="N58" s="183">
        <f t="shared" ca="1" si="14"/>
        <v>46204.530793402781</v>
      </c>
      <c r="O58" s="40">
        <f t="shared" ca="1" si="17"/>
        <v>10.419178082191781</v>
      </c>
      <c r="P58" s="39">
        <f t="shared" ca="1" si="18"/>
        <v>295592.08219178085</v>
      </c>
    </row>
    <row r="59" spans="1:16" x14ac:dyDescent="0.25">
      <c r="A59" t="s">
        <v>1161</v>
      </c>
      <c r="B59" t="s">
        <v>976</v>
      </c>
      <c r="C59" s="96">
        <v>43040</v>
      </c>
      <c r="D59">
        <v>5344.95</v>
      </c>
      <c r="F59" t="s">
        <v>422</v>
      </c>
      <c r="G59" t="s">
        <v>829</v>
      </c>
      <c r="H59">
        <v>1</v>
      </c>
      <c r="I59" s="39">
        <f t="shared" si="13"/>
        <v>5344.95</v>
      </c>
      <c r="N59" s="183">
        <f t="shared" ca="1" si="14"/>
        <v>46204.530793402781</v>
      </c>
      <c r="O59" s="40">
        <f t="shared" ca="1" si="17"/>
        <v>8.668493150684931</v>
      </c>
      <c r="P59" s="39">
        <f t="shared" ca="1" si="18"/>
        <v>46332.662465753419</v>
      </c>
    </row>
    <row r="60" spans="1:16" x14ac:dyDescent="0.25">
      <c r="A60" s="123" t="s">
        <v>1162</v>
      </c>
      <c r="B60" s="123" t="s">
        <v>832</v>
      </c>
      <c r="C60" s="124">
        <v>43191</v>
      </c>
      <c r="D60" s="125">
        <v>49900</v>
      </c>
      <c r="F60" t="s">
        <v>422</v>
      </c>
      <c r="G60" t="s">
        <v>829</v>
      </c>
      <c r="H60">
        <v>1</v>
      </c>
      <c r="I60" s="39">
        <f t="shared" si="13"/>
        <v>49900</v>
      </c>
      <c r="N60" s="183">
        <f t="shared" ca="1" si="14"/>
        <v>46204.530793402781</v>
      </c>
      <c r="O60" s="40">
        <f t="shared" ca="1" si="17"/>
        <v>8.2547945205479447</v>
      </c>
      <c r="P60" s="39">
        <f t="shared" ca="1" si="18"/>
        <v>411914.24657534243</v>
      </c>
    </row>
    <row r="61" spans="1:16" x14ac:dyDescent="0.25">
      <c r="A61" s="123" t="s">
        <v>1163</v>
      </c>
      <c r="B61" s="123" t="s">
        <v>833</v>
      </c>
      <c r="C61" s="124">
        <v>43252</v>
      </c>
      <c r="D61" s="125">
        <v>8400</v>
      </c>
      <c r="F61" t="s">
        <v>422</v>
      </c>
      <c r="G61" t="s">
        <v>829</v>
      </c>
      <c r="H61">
        <v>1</v>
      </c>
      <c r="I61" s="39">
        <f t="shared" si="13"/>
        <v>8400</v>
      </c>
      <c r="N61" s="183">
        <f t="shared" ca="1" si="14"/>
        <v>46204.530793402781</v>
      </c>
      <c r="O61" s="40">
        <f t="shared" ca="1" si="17"/>
        <v>8.087671232876712</v>
      </c>
      <c r="P61" s="39">
        <f t="shared" ca="1" si="18"/>
        <v>67936.438356164377</v>
      </c>
    </row>
    <row r="62" spans="1:16" x14ac:dyDescent="0.25">
      <c r="A62" s="123" t="s">
        <v>1164</v>
      </c>
      <c r="B62" s="123" t="s">
        <v>834</v>
      </c>
      <c r="C62" s="124">
        <v>43282</v>
      </c>
      <c r="D62" s="125">
        <v>10589.84</v>
      </c>
      <c r="F62" t="s">
        <v>422</v>
      </c>
      <c r="G62" t="s">
        <v>829</v>
      </c>
      <c r="H62">
        <v>1</v>
      </c>
      <c r="I62" s="39">
        <f t="shared" si="13"/>
        <v>10589.84</v>
      </c>
      <c r="N62" s="183">
        <f t="shared" ca="1" si="14"/>
        <v>46204.530793402781</v>
      </c>
      <c r="O62" s="40">
        <f t="shared" ca="1" si="17"/>
        <v>8.0054794520547947</v>
      </c>
      <c r="P62" s="39">
        <f t="shared" ca="1" si="18"/>
        <v>84776.746520547953</v>
      </c>
    </row>
    <row r="63" spans="1:16" x14ac:dyDescent="0.25">
      <c r="A63" s="123" t="s">
        <v>1165</v>
      </c>
      <c r="B63" s="123" t="s">
        <v>835</v>
      </c>
      <c r="C63" s="124">
        <v>43282</v>
      </c>
      <c r="D63" s="125">
        <v>17900</v>
      </c>
      <c r="F63" t="s">
        <v>422</v>
      </c>
      <c r="G63" t="s">
        <v>829</v>
      </c>
      <c r="H63">
        <v>1</v>
      </c>
      <c r="I63" s="39">
        <f t="shared" si="13"/>
        <v>17900</v>
      </c>
      <c r="N63" s="183">
        <f t="shared" ca="1" si="14"/>
        <v>46204.530793402781</v>
      </c>
      <c r="O63" s="40">
        <f t="shared" ca="1" si="17"/>
        <v>8.0054794520547947</v>
      </c>
      <c r="P63" s="39">
        <f t="shared" ca="1" si="18"/>
        <v>143298.08219178082</v>
      </c>
    </row>
    <row r="64" spans="1:16" x14ac:dyDescent="0.25">
      <c r="A64" s="123" t="s">
        <v>1166</v>
      </c>
      <c r="B64" s="123" t="s">
        <v>839</v>
      </c>
      <c r="C64" s="124">
        <v>43374</v>
      </c>
      <c r="D64" s="125">
        <v>53000</v>
      </c>
      <c r="F64" t="s">
        <v>422</v>
      </c>
      <c r="G64" t="s">
        <v>829</v>
      </c>
      <c r="H64">
        <v>1</v>
      </c>
      <c r="I64" s="39">
        <f t="shared" ref="I64:I65" si="19">+D64*H64</f>
        <v>53000</v>
      </c>
      <c r="N64" s="183">
        <f t="shared" ca="1" si="14"/>
        <v>46204.530793402781</v>
      </c>
      <c r="O64" s="40">
        <f t="shared" ref="O64:O65" ca="1" si="20">_xlfn.DAYS(N64,C64)/365</f>
        <v>7.7534246575342465</v>
      </c>
      <c r="P64" s="39">
        <f t="shared" ref="P64:P65" ca="1" si="21">+O64*I64</f>
        <v>410931.50684931508</v>
      </c>
    </row>
    <row r="65" spans="1:19" x14ac:dyDescent="0.25">
      <c r="A65" s="123" t="s">
        <v>1434</v>
      </c>
      <c r="B65" s="123" t="s">
        <v>1435</v>
      </c>
      <c r="C65" s="124">
        <v>44593</v>
      </c>
      <c r="D65" s="125">
        <v>10430.43</v>
      </c>
      <c r="F65" t="s">
        <v>420</v>
      </c>
      <c r="G65" t="s">
        <v>829</v>
      </c>
      <c r="H65">
        <v>1</v>
      </c>
      <c r="I65" s="39">
        <f t="shared" si="19"/>
        <v>10430.43</v>
      </c>
      <c r="N65" s="183">
        <f t="shared" ca="1" si="14"/>
        <v>46204.530793402781</v>
      </c>
      <c r="O65" s="40">
        <f t="shared" ca="1" si="20"/>
        <v>4.4136986301369863</v>
      </c>
      <c r="P65" s="39">
        <f t="shared" ca="1" si="21"/>
        <v>46036.77460273973</v>
      </c>
    </row>
    <row r="66" spans="1:19" x14ac:dyDescent="0.25">
      <c r="A66" s="123" t="s">
        <v>1447</v>
      </c>
      <c r="B66" s="123" t="s">
        <v>1448</v>
      </c>
      <c r="C66" s="124">
        <v>45505</v>
      </c>
      <c r="D66" s="125">
        <v>13730.43</v>
      </c>
      <c r="F66" t="s">
        <v>420</v>
      </c>
      <c r="G66" t="s">
        <v>829</v>
      </c>
      <c r="H66">
        <v>1</v>
      </c>
      <c r="I66" s="39">
        <f t="shared" si="13"/>
        <v>13730.43</v>
      </c>
      <c r="N66" s="183">
        <f t="shared" ca="1" si="14"/>
        <v>46204.530793402781</v>
      </c>
      <c r="O66" s="40">
        <f t="shared" ca="1" si="17"/>
        <v>1.9150684931506849</v>
      </c>
      <c r="P66" s="39">
        <f t="shared" ca="1" si="18"/>
        <v>26294.71389041096</v>
      </c>
    </row>
    <row r="67" spans="1:19" x14ac:dyDescent="0.25">
      <c r="A67" s="123"/>
      <c r="B67" s="123"/>
      <c r="C67" s="126" t="s">
        <v>845</v>
      </c>
      <c r="D67" s="156"/>
      <c r="E67" s="58"/>
      <c r="F67" s="58"/>
      <c r="G67" s="58"/>
      <c r="H67" s="58"/>
      <c r="I67" s="59">
        <f>SUM(I32:I66)</f>
        <v>654673.44000000006</v>
      </c>
      <c r="J67" t="s">
        <v>378</v>
      </c>
      <c r="K67" s="39">
        <f>+I67</f>
        <v>654673.44000000006</v>
      </c>
      <c r="M67" s="96"/>
      <c r="N67" s="183"/>
      <c r="Q67" s="39">
        <v>1</v>
      </c>
      <c r="R67" s="39">
        <f ca="1">SUM(P32:P66)*Q67</f>
        <v>7545356.2501095897</v>
      </c>
      <c r="S67" s="3">
        <f ca="1">+R67/$R$338</f>
        <v>1.4064272635526426E-2</v>
      </c>
    </row>
    <row r="68" spans="1:19" x14ac:dyDescent="0.25">
      <c r="A68" s="123"/>
      <c r="B68" s="123"/>
      <c r="C68" s="124"/>
      <c r="D68" s="125"/>
    </row>
    <row r="70" spans="1:19" x14ac:dyDescent="0.25">
      <c r="A70" s="123"/>
      <c r="B70" s="123"/>
      <c r="C70" s="124"/>
      <c r="D70" s="125"/>
    </row>
    <row r="71" spans="1:19" x14ac:dyDescent="0.25">
      <c r="A71" s="123"/>
      <c r="B71" s="123"/>
      <c r="C71" s="124"/>
      <c r="D71" s="125"/>
    </row>
    <row r="72" spans="1:19" x14ac:dyDescent="0.25">
      <c r="A72" s="128" t="s">
        <v>11</v>
      </c>
      <c r="B72" s="123"/>
      <c r="C72" s="124"/>
      <c r="D72" s="125"/>
    </row>
    <row r="73" spans="1:19" x14ac:dyDescent="0.25">
      <c r="A73" t="s">
        <v>1167</v>
      </c>
      <c r="B73" t="s">
        <v>656</v>
      </c>
      <c r="C73" s="96">
        <v>41214</v>
      </c>
      <c r="D73">
        <v>5128</v>
      </c>
      <c r="F73" t="s">
        <v>424</v>
      </c>
      <c r="G73" t="s">
        <v>831</v>
      </c>
      <c r="H73">
        <v>1</v>
      </c>
      <c r="I73" s="39">
        <f t="shared" ref="I73:I79" si="22">+D73*H73</f>
        <v>5128</v>
      </c>
      <c r="N73" s="183">
        <f t="shared" ref="N73:N83" ca="1" si="23">NOW()</f>
        <v>46204.530793402781</v>
      </c>
      <c r="O73" s="40">
        <f t="shared" ref="O73:O83" ca="1" si="24">_xlfn.DAYS(N73,C73)/365</f>
        <v>13.671232876712329</v>
      </c>
      <c r="P73" s="39">
        <f t="shared" ref="P73:P83" ca="1" si="25">+O73*I73</f>
        <v>70106.082191780821</v>
      </c>
    </row>
    <row r="74" spans="1:19" x14ac:dyDescent="0.25">
      <c r="A74" t="s">
        <v>1168</v>
      </c>
      <c r="B74" t="s">
        <v>657</v>
      </c>
      <c r="C74" s="96">
        <v>41275</v>
      </c>
      <c r="D74">
        <v>4330</v>
      </c>
      <c r="F74" t="s">
        <v>424</v>
      </c>
      <c r="G74" t="s">
        <v>831</v>
      </c>
      <c r="H74">
        <v>1</v>
      </c>
      <c r="I74" s="39">
        <f t="shared" si="22"/>
        <v>4330</v>
      </c>
      <c r="N74" s="183">
        <f t="shared" ca="1" si="23"/>
        <v>46204.530793402781</v>
      </c>
      <c r="O74" s="40">
        <f t="shared" ca="1" si="24"/>
        <v>13.504109589041096</v>
      </c>
      <c r="P74" s="39">
        <f t="shared" ca="1" si="25"/>
        <v>58472.794520547948</v>
      </c>
    </row>
    <row r="75" spans="1:19" x14ac:dyDescent="0.25">
      <c r="A75" t="s">
        <v>1169</v>
      </c>
      <c r="B75" t="s">
        <v>658</v>
      </c>
      <c r="C75" s="96">
        <v>41275</v>
      </c>
      <c r="D75">
        <v>6911</v>
      </c>
      <c r="F75" t="s">
        <v>424</v>
      </c>
      <c r="G75" t="s">
        <v>831</v>
      </c>
      <c r="H75">
        <v>1</v>
      </c>
      <c r="I75" s="39">
        <f t="shared" si="22"/>
        <v>6911</v>
      </c>
      <c r="N75" s="183">
        <f t="shared" ca="1" si="23"/>
        <v>46204.530793402781</v>
      </c>
      <c r="O75" s="40">
        <f t="shared" ca="1" si="24"/>
        <v>13.504109589041096</v>
      </c>
      <c r="P75" s="39">
        <f t="shared" ca="1" si="25"/>
        <v>93326.901369863015</v>
      </c>
    </row>
    <row r="76" spans="1:19" x14ac:dyDescent="0.25">
      <c r="A76" t="s">
        <v>1170</v>
      </c>
      <c r="B76" t="s">
        <v>659</v>
      </c>
      <c r="C76" s="96">
        <v>42095</v>
      </c>
      <c r="D76">
        <v>13250</v>
      </c>
      <c r="F76" t="s">
        <v>424</v>
      </c>
      <c r="G76" t="s">
        <v>831</v>
      </c>
      <c r="H76">
        <v>1</v>
      </c>
      <c r="I76" s="39">
        <f t="shared" si="22"/>
        <v>13250</v>
      </c>
      <c r="N76" s="183">
        <f t="shared" ca="1" si="23"/>
        <v>46204.530793402781</v>
      </c>
      <c r="O76" s="40">
        <f t="shared" ca="1" si="24"/>
        <v>11.257534246575343</v>
      </c>
      <c r="P76" s="39">
        <f t="shared" ca="1" si="25"/>
        <v>149162.32876712328</v>
      </c>
    </row>
    <row r="77" spans="1:19" x14ac:dyDescent="0.25">
      <c r="A77" t="s">
        <v>1171</v>
      </c>
      <c r="B77" t="s">
        <v>660</v>
      </c>
      <c r="C77" s="96">
        <v>41609</v>
      </c>
      <c r="D77">
        <v>228733</v>
      </c>
      <c r="F77" t="s">
        <v>424</v>
      </c>
      <c r="G77" t="s">
        <v>831</v>
      </c>
      <c r="H77">
        <v>1</v>
      </c>
      <c r="I77" s="39">
        <f t="shared" si="22"/>
        <v>228733</v>
      </c>
      <c r="N77" s="183">
        <f t="shared" ca="1" si="23"/>
        <v>46204.530793402781</v>
      </c>
      <c r="O77" s="40">
        <f t="shared" ca="1" si="24"/>
        <v>12.58904109589041</v>
      </c>
      <c r="P77" s="39">
        <f t="shared" ca="1" si="25"/>
        <v>2879529.1369863013</v>
      </c>
    </row>
    <row r="78" spans="1:19" x14ac:dyDescent="0.25">
      <c r="A78" t="s">
        <v>1172</v>
      </c>
      <c r="B78" t="s">
        <v>665</v>
      </c>
      <c r="C78" s="96">
        <v>40969</v>
      </c>
      <c r="D78">
        <v>7800</v>
      </c>
      <c r="F78" t="s">
        <v>424</v>
      </c>
      <c r="G78" t="s">
        <v>831</v>
      </c>
      <c r="H78">
        <v>1</v>
      </c>
      <c r="I78" s="39">
        <f t="shared" si="22"/>
        <v>7800</v>
      </c>
      <c r="N78" s="183">
        <f t="shared" ca="1" si="23"/>
        <v>46204.530793402781</v>
      </c>
      <c r="O78" s="40">
        <f t="shared" ca="1" si="24"/>
        <v>14.342465753424657</v>
      </c>
      <c r="P78" s="39">
        <f t="shared" ca="1" si="25"/>
        <v>111871.23287671233</v>
      </c>
    </row>
    <row r="79" spans="1:19" x14ac:dyDescent="0.25">
      <c r="A79" t="s">
        <v>1173</v>
      </c>
      <c r="B79" t="s">
        <v>661</v>
      </c>
      <c r="C79" s="96">
        <v>41883</v>
      </c>
      <c r="D79">
        <v>172643.86</v>
      </c>
      <c r="F79" t="s">
        <v>424</v>
      </c>
      <c r="G79" t="s">
        <v>831</v>
      </c>
      <c r="H79">
        <v>1</v>
      </c>
      <c r="I79" s="39">
        <f t="shared" si="22"/>
        <v>172643.86</v>
      </c>
      <c r="N79" s="183">
        <f t="shared" ca="1" si="23"/>
        <v>46204.530793402781</v>
      </c>
      <c r="O79" s="40">
        <f t="shared" ca="1" si="24"/>
        <v>11.838356164383562</v>
      </c>
      <c r="P79" s="39">
        <f t="shared" ca="1" si="25"/>
        <v>2043819.5042739725</v>
      </c>
    </row>
    <row r="80" spans="1:19" x14ac:dyDescent="0.25">
      <c r="A80" t="s">
        <v>1174</v>
      </c>
      <c r="B80" t="s">
        <v>664</v>
      </c>
      <c r="C80" s="96">
        <v>39326</v>
      </c>
      <c r="D80">
        <v>17061.400000000001</v>
      </c>
      <c r="F80" t="s">
        <v>424</v>
      </c>
      <c r="G80" t="s">
        <v>831</v>
      </c>
      <c r="H80">
        <v>1</v>
      </c>
      <c r="I80" s="39">
        <f t="shared" ref="I80" si="26">+D80*H80</f>
        <v>17061.400000000001</v>
      </c>
      <c r="N80" s="183">
        <f t="shared" ca="1" si="23"/>
        <v>46204.530793402781</v>
      </c>
      <c r="O80" s="40">
        <f t="shared" ca="1" si="24"/>
        <v>18.843835616438355</v>
      </c>
      <c r="P80" s="39">
        <f t="shared" ca="1" si="25"/>
        <v>321502.21698630136</v>
      </c>
    </row>
    <row r="81" spans="1:19" x14ac:dyDescent="0.25">
      <c r="A81" t="s">
        <v>1175</v>
      </c>
      <c r="B81" t="s">
        <v>662</v>
      </c>
      <c r="C81" s="96">
        <v>42156</v>
      </c>
      <c r="D81">
        <v>239762.5</v>
      </c>
      <c r="F81" t="s">
        <v>424</v>
      </c>
      <c r="G81" t="s">
        <v>446</v>
      </c>
      <c r="H81">
        <v>1</v>
      </c>
      <c r="I81" s="39">
        <f t="shared" ref="I81:I83" si="27">+D81*H81</f>
        <v>239762.5</v>
      </c>
      <c r="N81" s="183">
        <f t="shared" ca="1" si="23"/>
        <v>46204.530793402781</v>
      </c>
      <c r="O81" s="40">
        <f t="shared" ca="1" si="24"/>
        <v>11.09041095890411</v>
      </c>
      <c r="P81" s="39">
        <f t="shared" ca="1" si="25"/>
        <v>2659064.6575342468</v>
      </c>
    </row>
    <row r="82" spans="1:19" x14ac:dyDescent="0.25">
      <c r="A82" t="s">
        <v>1176</v>
      </c>
      <c r="B82" t="s">
        <v>663</v>
      </c>
      <c r="C82" s="96">
        <v>42401</v>
      </c>
      <c r="D82">
        <v>238991.78</v>
      </c>
      <c r="F82" t="s">
        <v>424</v>
      </c>
      <c r="G82" t="s">
        <v>446</v>
      </c>
      <c r="H82">
        <v>1</v>
      </c>
      <c r="I82" s="39">
        <f t="shared" si="27"/>
        <v>238991.78</v>
      </c>
      <c r="N82" s="183">
        <f t="shared" ca="1" si="23"/>
        <v>46204.530793402781</v>
      </c>
      <c r="O82" s="40">
        <f t="shared" ca="1" si="24"/>
        <v>10.419178082191781</v>
      </c>
      <c r="P82" s="39">
        <f t="shared" ca="1" si="25"/>
        <v>2490097.9160000002</v>
      </c>
    </row>
    <row r="83" spans="1:19" x14ac:dyDescent="0.25">
      <c r="A83" t="s">
        <v>1174</v>
      </c>
      <c r="B83" t="s">
        <v>664</v>
      </c>
      <c r="C83" s="96">
        <v>39326</v>
      </c>
      <c r="D83">
        <v>17061.400000000001</v>
      </c>
      <c r="F83" t="s">
        <v>424</v>
      </c>
      <c r="G83" t="s">
        <v>446</v>
      </c>
      <c r="H83">
        <v>1</v>
      </c>
      <c r="I83" s="39">
        <f t="shared" si="27"/>
        <v>17061.400000000001</v>
      </c>
      <c r="N83" s="183">
        <f t="shared" ca="1" si="23"/>
        <v>46204.530793402781</v>
      </c>
      <c r="O83" s="40">
        <f t="shared" ca="1" si="24"/>
        <v>18.843835616438355</v>
      </c>
      <c r="P83" s="39">
        <f t="shared" ca="1" si="25"/>
        <v>321502.21698630136</v>
      </c>
    </row>
    <row r="84" spans="1:19" x14ac:dyDescent="0.25">
      <c r="C84" s="128" t="s">
        <v>11</v>
      </c>
      <c r="D84" s="58"/>
      <c r="E84" s="58"/>
      <c r="F84" s="58"/>
      <c r="G84" s="58"/>
      <c r="H84" s="58"/>
      <c r="I84" s="59">
        <f>SUM(I73:I83)</f>
        <v>951672.94000000006</v>
      </c>
      <c r="K84" s="121">
        <f>+I84</f>
        <v>951672.94000000006</v>
      </c>
      <c r="M84" s="96"/>
      <c r="N84" s="183"/>
      <c r="Q84" s="39">
        <v>1</v>
      </c>
      <c r="R84" s="39">
        <f ca="1">SUM(P73:P83)*Q84</f>
        <v>11198454.988493152</v>
      </c>
      <c r="S84" s="3">
        <f ca="1">+R84/$R$338</f>
        <v>2.0873517277935169E-2</v>
      </c>
    </row>
    <row r="85" spans="1:19" x14ac:dyDescent="0.25">
      <c r="C85" s="150"/>
    </row>
    <row r="86" spans="1:19" x14ac:dyDescent="0.25">
      <c r="A86" s="127" t="s">
        <v>16</v>
      </c>
      <c r="B86" s="58"/>
    </row>
    <row r="87" spans="1:19" x14ac:dyDescent="0.25">
      <c r="A87" t="s">
        <v>1177</v>
      </c>
      <c r="B87" t="s">
        <v>666</v>
      </c>
      <c r="C87" s="96">
        <v>41791</v>
      </c>
      <c r="D87">
        <v>23220</v>
      </c>
      <c r="F87" t="s">
        <v>431</v>
      </c>
      <c r="G87" t="s">
        <v>831</v>
      </c>
      <c r="H87">
        <v>1</v>
      </c>
      <c r="I87" s="39">
        <f t="shared" ref="I87:I98" si="28">+D87*H87</f>
        <v>23220</v>
      </c>
      <c r="N87" s="183">
        <f t="shared" ref="N87:N113" ca="1" si="29">NOW()</f>
        <v>46204.530793402781</v>
      </c>
      <c r="O87" s="40">
        <f t="shared" ref="O87:O113" ca="1" si="30">_xlfn.DAYS(N87,C87)/365</f>
        <v>12.09041095890411</v>
      </c>
      <c r="P87" s="39">
        <f t="shared" ref="P87:P113" ca="1" si="31">+O87*I87</f>
        <v>280739.34246575343</v>
      </c>
    </row>
    <row r="88" spans="1:19" x14ac:dyDescent="0.25">
      <c r="A88" t="s">
        <v>1178</v>
      </c>
      <c r="B88" t="s">
        <v>667</v>
      </c>
      <c r="C88" s="96">
        <v>41974</v>
      </c>
      <c r="D88">
        <v>6960</v>
      </c>
      <c r="F88" t="s">
        <v>431</v>
      </c>
      <c r="G88" t="s">
        <v>831</v>
      </c>
      <c r="H88">
        <v>1</v>
      </c>
      <c r="I88" s="39">
        <f t="shared" si="28"/>
        <v>6960</v>
      </c>
      <c r="N88" s="183">
        <f t="shared" ca="1" si="29"/>
        <v>46204.530793402781</v>
      </c>
      <c r="O88" s="40">
        <f t="shared" ca="1" si="30"/>
        <v>11.58904109589041</v>
      </c>
      <c r="P88" s="39">
        <f t="shared" ca="1" si="31"/>
        <v>80659.72602739725</v>
      </c>
    </row>
    <row r="89" spans="1:19" x14ac:dyDescent="0.25">
      <c r="A89" s="123" t="s">
        <v>1179</v>
      </c>
      <c r="B89" t="s">
        <v>987</v>
      </c>
      <c r="C89" s="96">
        <v>34700</v>
      </c>
      <c r="D89">
        <v>154016</v>
      </c>
      <c r="F89" s="4" t="s">
        <v>431</v>
      </c>
      <c r="G89" t="s">
        <v>831</v>
      </c>
      <c r="H89">
        <v>1</v>
      </c>
      <c r="I89" s="39">
        <f t="shared" si="28"/>
        <v>154016</v>
      </c>
      <c r="N89" s="183">
        <f t="shared" ca="1" si="29"/>
        <v>46204.530793402781</v>
      </c>
      <c r="O89" s="40">
        <f t="shared" ca="1" si="30"/>
        <v>31.517808219178082</v>
      </c>
      <c r="P89" s="39">
        <f t="shared" ca="1" si="31"/>
        <v>4854246.7506849319</v>
      </c>
    </row>
    <row r="90" spans="1:19" x14ac:dyDescent="0.25">
      <c r="A90" s="123" t="s">
        <v>1180</v>
      </c>
      <c r="B90" t="s">
        <v>988</v>
      </c>
      <c r="C90" s="96">
        <v>36465</v>
      </c>
      <c r="D90">
        <v>3886</v>
      </c>
      <c r="F90" s="4" t="s">
        <v>431</v>
      </c>
      <c r="G90" t="s">
        <v>831</v>
      </c>
      <c r="H90">
        <v>1</v>
      </c>
      <c r="I90" s="39">
        <f t="shared" si="28"/>
        <v>3886</v>
      </c>
      <c r="N90" s="183">
        <f t="shared" ca="1" si="29"/>
        <v>46204.530793402781</v>
      </c>
      <c r="O90" s="40">
        <f t="shared" ca="1" si="30"/>
        <v>26.682191780821917</v>
      </c>
      <c r="P90" s="39">
        <f t="shared" ca="1" si="31"/>
        <v>103686.99726027397</v>
      </c>
    </row>
    <row r="91" spans="1:19" x14ac:dyDescent="0.25">
      <c r="A91" t="s">
        <v>1181</v>
      </c>
      <c r="B91" t="s">
        <v>676</v>
      </c>
      <c r="C91" s="96">
        <v>41760</v>
      </c>
      <c r="D91">
        <v>465600</v>
      </c>
      <c r="F91" s="4" t="s">
        <v>431</v>
      </c>
      <c r="G91" t="s">
        <v>831</v>
      </c>
      <c r="H91">
        <v>1</v>
      </c>
      <c r="I91" s="39">
        <f t="shared" si="28"/>
        <v>465600</v>
      </c>
      <c r="N91" s="183">
        <f t="shared" ca="1" si="29"/>
        <v>46204.530793402781</v>
      </c>
      <c r="O91" s="40">
        <f t="shared" ca="1" si="30"/>
        <v>12.175342465753424</v>
      </c>
      <c r="P91" s="39">
        <f t="shared" ca="1" si="31"/>
        <v>5668839.4520547939</v>
      </c>
    </row>
    <row r="92" spans="1:19" x14ac:dyDescent="0.25">
      <c r="A92" s="123" t="s">
        <v>1182</v>
      </c>
      <c r="B92" s="123" t="s">
        <v>838</v>
      </c>
      <c r="C92" s="124">
        <v>43040</v>
      </c>
      <c r="D92" s="125">
        <v>153532.35</v>
      </c>
      <c r="F92" s="4" t="s">
        <v>431</v>
      </c>
      <c r="G92" t="s">
        <v>831</v>
      </c>
      <c r="H92">
        <v>1</v>
      </c>
      <c r="I92" s="39">
        <f t="shared" si="28"/>
        <v>153532.35</v>
      </c>
      <c r="N92" s="183">
        <f t="shared" ca="1" si="29"/>
        <v>46204.530793402781</v>
      </c>
      <c r="O92" s="40">
        <f t="shared" ca="1" si="30"/>
        <v>8.668493150684931</v>
      </c>
      <c r="P92" s="39">
        <f t="shared" ca="1" si="31"/>
        <v>1330894.1243835615</v>
      </c>
    </row>
    <row r="93" spans="1:19" x14ac:dyDescent="0.25">
      <c r="A93" s="123" t="s">
        <v>1183</v>
      </c>
      <c r="B93" s="123" t="s">
        <v>989</v>
      </c>
      <c r="C93" s="124">
        <v>38322</v>
      </c>
      <c r="D93" s="125">
        <v>227278.39</v>
      </c>
      <c r="F93" s="4" t="s">
        <v>431</v>
      </c>
      <c r="G93" t="s">
        <v>831</v>
      </c>
      <c r="H93">
        <v>1</v>
      </c>
      <c r="I93" s="39">
        <f t="shared" si="28"/>
        <v>227278.39</v>
      </c>
      <c r="N93" s="183">
        <f t="shared" ca="1" si="29"/>
        <v>46204.530793402781</v>
      </c>
      <c r="O93" s="40">
        <f t="shared" ca="1" si="30"/>
        <v>21.594520547945205</v>
      </c>
      <c r="P93" s="39">
        <f t="shared" ca="1" si="31"/>
        <v>4907967.8629589044</v>
      </c>
    </row>
    <row r="94" spans="1:19" x14ac:dyDescent="0.25">
      <c r="A94" s="123" t="s">
        <v>1184</v>
      </c>
      <c r="B94" s="123" t="s">
        <v>837</v>
      </c>
      <c r="C94" s="124">
        <v>43313</v>
      </c>
      <c r="D94" s="125">
        <v>48489.120000000003</v>
      </c>
      <c r="F94" s="4" t="s">
        <v>431</v>
      </c>
      <c r="G94" t="s">
        <v>831</v>
      </c>
      <c r="H94">
        <v>1</v>
      </c>
      <c r="I94" s="39">
        <f t="shared" si="28"/>
        <v>48489.120000000003</v>
      </c>
      <c r="N94" s="183">
        <f t="shared" ca="1" si="29"/>
        <v>46204.530793402781</v>
      </c>
      <c r="O94" s="40">
        <f t="shared" ca="1" si="30"/>
        <v>7.9205479452054792</v>
      </c>
      <c r="P94" s="39">
        <f t="shared" ca="1" si="31"/>
        <v>384060.39978082193</v>
      </c>
    </row>
    <row r="95" spans="1:19" x14ac:dyDescent="0.25">
      <c r="A95" s="141" t="s">
        <v>1185</v>
      </c>
      <c r="B95" s="141" t="s">
        <v>955</v>
      </c>
      <c r="C95" s="142">
        <v>43556</v>
      </c>
      <c r="D95" s="143">
        <v>1260000</v>
      </c>
      <c r="E95" s="140"/>
      <c r="F95" s="144" t="s">
        <v>431</v>
      </c>
      <c r="G95" t="s">
        <v>831</v>
      </c>
      <c r="H95" s="140">
        <v>1</v>
      </c>
      <c r="I95" s="39">
        <f t="shared" si="28"/>
        <v>1260000</v>
      </c>
      <c r="N95" s="183">
        <f t="shared" ca="1" si="29"/>
        <v>46204.530793402781</v>
      </c>
      <c r="O95" s="40">
        <f t="shared" ca="1" si="30"/>
        <v>7.2547945205479456</v>
      </c>
      <c r="P95" s="39">
        <f t="shared" ca="1" si="31"/>
        <v>9141041.0958904121</v>
      </c>
    </row>
    <row r="96" spans="1:19" x14ac:dyDescent="0.25">
      <c r="A96" t="s">
        <v>1186</v>
      </c>
      <c r="B96" t="s">
        <v>668</v>
      </c>
      <c r="C96" s="96">
        <v>38412</v>
      </c>
      <c r="D96">
        <v>1519.78</v>
      </c>
      <c r="F96" t="s">
        <v>430</v>
      </c>
      <c r="G96" t="s">
        <v>831</v>
      </c>
      <c r="H96">
        <v>1</v>
      </c>
      <c r="I96" s="39">
        <f t="shared" si="28"/>
        <v>1519.78</v>
      </c>
      <c r="N96" s="183">
        <f t="shared" ca="1" si="29"/>
        <v>46204.530793402781</v>
      </c>
      <c r="O96" s="40">
        <f t="shared" ca="1" si="30"/>
        <v>21.347945205479451</v>
      </c>
      <c r="P96" s="39">
        <f t="shared" ca="1" si="31"/>
        <v>32444.180164383561</v>
      </c>
    </row>
    <row r="97" spans="1:16" x14ac:dyDescent="0.25">
      <c r="A97" t="s">
        <v>1187</v>
      </c>
      <c r="B97" t="s">
        <v>669</v>
      </c>
      <c r="C97" s="96">
        <v>42401</v>
      </c>
      <c r="D97">
        <v>84364</v>
      </c>
      <c r="F97" t="s">
        <v>430</v>
      </c>
      <c r="G97" t="s">
        <v>831</v>
      </c>
      <c r="H97">
        <v>1</v>
      </c>
      <c r="I97" s="39">
        <f t="shared" si="28"/>
        <v>84364</v>
      </c>
      <c r="N97" s="183">
        <f t="shared" ca="1" si="29"/>
        <v>46204.530793402781</v>
      </c>
      <c r="O97" s="40">
        <f t="shared" ca="1" si="30"/>
        <v>10.419178082191781</v>
      </c>
      <c r="P97" s="39">
        <f t="shared" ca="1" si="31"/>
        <v>879003.5397260274</v>
      </c>
    </row>
    <row r="98" spans="1:16" x14ac:dyDescent="0.25">
      <c r="A98" s="123" t="s">
        <v>1187</v>
      </c>
      <c r="B98" t="s">
        <v>669</v>
      </c>
      <c r="D98" s="39">
        <v>42182</v>
      </c>
      <c r="F98" t="s">
        <v>430</v>
      </c>
      <c r="G98" t="s">
        <v>831</v>
      </c>
      <c r="H98">
        <v>1</v>
      </c>
      <c r="I98" s="39">
        <f t="shared" si="28"/>
        <v>42182</v>
      </c>
      <c r="N98" s="183">
        <f t="shared" ca="1" si="29"/>
        <v>46204.530793402781</v>
      </c>
      <c r="O98" s="40">
        <f t="shared" ca="1" si="30"/>
        <v>126.58630136986301</v>
      </c>
      <c r="P98" s="39">
        <f t="shared" ca="1" si="31"/>
        <v>5339663.3643835615</v>
      </c>
    </row>
    <row r="99" spans="1:16" x14ac:dyDescent="0.25">
      <c r="A99" s="123" t="s">
        <v>1188</v>
      </c>
      <c r="B99" t="s">
        <v>991</v>
      </c>
      <c r="C99" s="96">
        <v>38169</v>
      </c>
      <c r="D99" s="39">
        <v>10800</v>
      </c>
      <c r="F99" t="s">
        <v>430</v>
      </c>
      <c r="H99">
        <v>1</v>
      </c>
      <c r="I99" s="39">
        <f t="shared" ref="I99:I100" si="32">+D99*H99</f>
        <v>10800</v>
      </c>
      <c r="N99" s="183">
        <f t="shared" ca="1" si="29"/>
        <v>46204.530793402781</v>
      </c>
      <c r="O99" s="40">
        <f t="shared" ca="1" si="30"/>
        <v>22.013698630136986</v>
      </c>
      <c r="P99" s="39">
        <f t="shared" ca="1" si="31"/>
        <v>237747.94520547945</v>
      </c>
    </row>
    <row r="100" spans="1:16" x14ac:dyDescent="0.25">
      <c r="A100" s="123" t="s">
        <v>1189</v>
      </c>
      <c r="B100" t="s">
        <v>992</v>
      </c>
      <c r="C100" s="96">
        <v>38352</v>
      </c>
      <c r="D100" s="39">
        <v>68840</v>
      </c>
      <c r="F100" t="s">
        <v>430</v>
      </c>
      <c r="H100">
        <v>1</v>
      </c>
      <c r="I100" s="39">
        <f t="shared" si="32"/>
        <v>68840</v>
      </c>
      <c r="N100" s="183">
        <f t="shared" ca="1" si="29"/>
        <v>46204.530793402781</v>
      </c>
      <c r="O100" s="40">
        <f t="shared" ca="1" si="30"/>
        <v>21.512328767123286</v>
      </c>
      <c r="P100" s="39">
        <f t="shared" ca="1" si="31"/>
        <v>1480908.7123287669</v>
      </c>
    </row>
    <row r="101" spans="1:16" x14ac:dyDescent="0.25">
      <c r="A101" t="s">
        <v>1190</v>
      </c>
      <c r="B101" t="s">
        <v>670</v>
      </c>
      <c r="C101" s="96">
        <v>42856</v>
      </c>
      <c r="D101">
        <v>9456</v>
      </c>
      <c r="F101" t="s">
        <v>436</v>
      </c>
      <c r="G101" t="s">
        <v>831</v>
      </c>
      <c r="H101">
        <v>1</v>
      </c>
      <c r="I101" s="39">
        <f t="shared" ref="I101:I113" si="33">+D101*H101</f>
        <v>9456</v>
      </c>
      <c r="N101" s="183">
        <f t="shared" ca="1" si="29"/>
        <v>46204.530793402781</v>
      </c>
      <c r="O101" s="40">
        <f t="shared" ca="1" si="30"/>
        <v>9.1726027397260275</v>
      </c>
      <c r="P101" s="39">
        <f t="shared" ca="1" si="31"/>
        <v>86736.131506849313</v>
      </c>
    </row>
    <row r="102" spans="1:16" x14ac:dyDescent="0.25">
      <c r="A102" t="s">
        <v>1191</v>
      </c>
      <c r="B102" t="s">
        <v>671</v>
      </c>
      <c r="C102" s="96">
        <v>42856</v>
      </c>
      <c r="D102">
        <v>43800</v>
      </c>
      <c r="F102" t="s">
        <v>436</v>
      </c>
      <c r="G102" t="s">
        <v>831</v>
      </c>
      <c r="H102">
        <v>1</v>
      </c>
      <c r="I102" s="39">
        <f t="shared" si="33"/>
        <v>43800</v>
      </c>
      <c r="N102" s="183">
        <f t="shared" ca="1" si="29"/>
        <v>46204.530793402781</v>
      </c>
      <c r="O102" s="40">
        <f t="shared" ca="1" si="30"/>
        <v>9.1726027397260275</v>
      </c>
      <c r="P102" s="39">
        <f t="shared" ca="1" si="31"/>
        <v>401760</v>
      </c>
    </row>
    <row r="103" spans="1:16" x14ac:dyDescent="0.25">
      <c r="A103" t="s">
        <v>1192</v>
      </c>
      <c r="B103" t="s">
        <v>672</v>
      </c>
      <c r="C103" s="96">
        <v>39539</v>
      </c>
      <c r="D103">
        <v>2500</v>
      </c>
      <c r="F103" t="s">
        <v>460</v>
      </c>
      <c r="G103" t="s">
        <v>831</v>
      </c>
      <c r="H103">
        <v>1</v>
      </c>
      <c r="I103" s="39">
        <f t="shared" si="33"/>
        <v>2500</v>
      </c>
      <c r="N103" s="183">
        <f t="shared" ca="1" si="29"/>
        <v>46204.530793402781</v>
      </c>
      <c r="O103" s="40">
        <f t="shared" ca="1" si="30"/>
        <v>18.260273972602739</v>
      </c>
      <c r="P103" s="39">
        <f t="shared" ca="1" si="31"/>
        <v>45650.684931506847</v>
      </c>
    </row>
    <row r="104" spans="1:16" x14ac:dyDescent="0.25">
      <c r="A104" t="s">
        <v>1193</v>
      </c>
      <c r="B104" t="s">
        <v>993</v>
      </c>
      <c r="C104" s="96">
        <v>38626</v>
      </c>
      <c r="D104">
        <v>3520</v>
      </c>
      <c r="F104" t="s">
        <v>460</v>
      </c>
      <c r="G104" t="s">
        <v>831</v>
      </c>
      <c r="H104">
        <v>1</v>
      </c>
      <c r="I104" s="39">
        <f t="shared" si="33"/>
        <v>3520</v>
      </c>
      <c r="N104" s="183">
        <f t="shared" ca="1" si="29"/>
        <v>46204.530793402781</v>
      </c>
      <c r="O104" s="40">
        <f t="shared" ca="1" si="30"/>
        <v>20.761643835616439</v>
      </c>
      <c r="P104" s="39">
        <f t="shared" ca="1" si="31"/>
        <v>73080.986301369863</v>
      </c>
    </row>
    <row r="105" spans="1:16" x14ac:dyDescent="0.25">
      <c r="A105" s="7" t="s">
        <v>1194</v>
      </c>
      <c r="B105" t="s">
        <v>673</v>
      </c>
      <c r="C105" s="96">
        <v>40210</v>
      </c>
      <c r="D105">
        <v>6680</v>
      </c>
      <c r="F105" t="s">
        <v>460</v>
      </c>
      <c r="G105" t="s">
        <v>831</v>
      </c>
      <c r="H105">
        <v>1</v>
      </c>
      <c r="I105" s="39">
        <f t="shared" si="33"/>
        <v>6680</v>
      </c>
      <c r="N105" s="183">
        <f t="shared" ca="1" si="29"/>
        <v>46204.530793402781</v>
      </c>
      <c r="O105" s="40">
        <f t="shared" ca="1" si="30"/>
        <v>16.421917808219177</v>
      </c>
      <c r="P105" s="39">
        <f t="shared" ca="1" si="31"/>
        <v>109698.4109589041</v>
      </c>
    </row>
    <row r="106" spans="1:16" x14ac:dyDescent="0.25">
      <c r="A106" s="7" t="s">
        <v>1195</v>
      </c>
      <c r="B106" t="s">
        <v>674</v>
      </c>
      <c r="C106" s="96">
        <v>42736</v>
      </c>
      <c r="D106">
        <v>29600</v>
      </c>
      <c r="F106" t="s">
        <v>432</v>
      </c>
      <c r="G106" t="s">
        <v>831</v>
      </c>
      <c r="H106">
        <v>1</v>
      </c>
      <c r="I106" s="39">
        <f t="shared" si="33"/>
        <v>29600</v>
      </c>
      <c r="N106" s="183">
        <f t="shared" ca="1" si="29"/>
        <v>46204.530793402781</v>
      </c>
      <c r="O106" s="40">
        <f t="shared" ca="1" si="30"/>
        <v>9.5013698630136982</v>
      </c>
      <c r="P106" s="39">
        <f t="shared" ca="1" si="31"/>
        <v>281240.54794520547</v>
      </c>
    </row>
    <row r="107" spans="1:16" x14ac:dyDescent="0.25">
      <c r="A107" s="153" t="s">
        <v>1195</v>
      </c>
      <c r="B107" s="123" t="s">
        <v>674</v>
      </c>
      <c r="C107" s="124">
        <v>42736</v>
      </c>
      <c r="D107" s="125">
        <v>29600</v>
      </c>
      <c r="F107" t="s">
        <v>432</v>
      </c>
      <c r="G107" t="s">
        <v>831</v>
      </c>
      <c r="H107">
        <v>1</v>
      </c>
      <c r="I107" s="39">
        <f t="shared" si="33"/>
        <v>29600</v>
      </c>
      <c r="N107" s="183">
        <f t="shared" ca="1" si="29"/>
        <v>46204.530793402781</v>
      </c>
      <c r="O107" s="40">
        <f t="shared" ca="1" si="30"/>
        <v>9.5013698630136982</v>
      </c>
      <c r="P107" s="39">
        <f t="shared" ca="1" si="31"/>
        <v>281240.54794520547</v>
      </c>
    </row>
    <row r="108" spans="1:16" x14ac:dyDescent="0.25">
      <c r="A108" t="s">
        <v>1196</v>
      </c>
      <c r="B108" t="s">
        <v>675</v>
      </c>
      <c r="C108" s="96">
        <v>42736</v>
      </c>
      <c r="D108">
        <v>22000</v>
      </c>
      <c r="F108" t="s">
        <v>433</v>
      </c>
      <c r="G108" t="s">
        <v>831</v>
      </c>
      <c r="H108">
        <v>1</v>
      </c>
      <c r="I108" s="39">
        <f t="shared" si="33"/>
        <v>22000</v>
      </c>
      <c r="N108" s="183">
        <f t="shared" ca="1" si="29"/>
        <v>46204.530793402781</v>
      </c>
      <c r="O108" s="40">
        <f t="shared" ca="1" si="30"/>
        <v>9.5013698630136982</v>
      </c>
      <c r="P108" s="39">
        <f t="shared" ca="1" si="31"/>
        <v>209030.13698630137</v>
      </c>
    </row>
    <row r="109" spans="1:16" x14ac:dyDescent="0.25">
      <c r="A109" s="123" t="s">
        <v>1196</v>
      </c>
      <c r="B109" s="123" t="s">
        <v>675</v>
      </c>
      <c r="C109" s="124">
        <v>42736</v>
      </c>
      <c r="D109" s="125">
        <v>22000</v>
      </c>
      <c r="F109" t="s">
        <v>433</v>
      </c>
      <c r="G109" t="s">
        <v>831</v>
      </c>
      <c r="H109">
        <v>1</v>
      </c>
      <c r="I109" s="39">
        <f t="shared" si="33"/>
        <v>22000</v>
      </c>
      <c r="N109" s="183">
        <f t="shared" ca="1" si="29"/>
        <v>46204.530793402781</v>
      </c>
      <c r="O109" s="40">
        <f t="shared" ca="1" si="30"/>
        <v>9.5013698630136982</v>
      </c>
      <c r="P109" s="39">
        <f t="shared" ca="1" si="31"/>
        <v>209030.13698630137</v>
      </c>
    </row>
    <row r="110" spans="1:16" x14ac:dyDescent="0.25">
      <c r="A110" t="s">
        <v>1197</v>
      </c>
      <c r="B110" t="s">
        <v>677</v>
      </c>
      <c r="C110" s="96">
        <v>42675</v>
      </c>
      <c r="D110">
        <v>14946</v>
      </c>
      <c r="F110" t="s">
        <v>435</v>
      </c>
      <c r="G110" t="s">
        <v>831</v>
      </c>
      <c r="H110">
        <v>1</v>
      </c>
      <c r="I110" s="39">
        <f t="shared" si="33"/>
        <v>14946</v>
      </c>
      <c r="N110" s="183">
        <f t="shared" ca="1" si="29"/>
        <v>46204.530793402781</v>
      </c>
      <c r="O110" s="40">
        <f t="shared" ca="1" si="30"/>
        <v>9.668493150684931</v>
      </c>
      <c r="P110" s="39">
        <f t="shared" ca="1" si="31"/>
        <v>144505.29863013697</v>
      </c>
    </row>
    <row r="111" spans="1:16" x14ac:dyDescent="0.25">
      <c r="A111" t="s">
        <v>1198</v>
      </c>
      <c r="B111" t="s">
        <v>678</v>
      </c>
      <c r="C111" s="96">
        <v>42186</v>
      </c>
      <c r="D111">
        <v>200000</v>
      </c>
      <c r="F111" t="s">
        <v>609</v>
      </c>
      <c r="G111" t="s">
        <v>831</v>
      </c>
      <c r="H111">
        <v>1</v>
      </c>
      <c r="I111" s="39">
        <f t="shared" si="33"/>
        <v>200000</v>
      </c>
      <c r="N111" s="183">
        <f t="shared" ca="1" si="29"/>
        <v>46204.530793402781</v>
      </c>
      <c r="O111" s="40">
        <f t="shared" ca="1" si="30"/>
        <v>11.008219178082191</v>
      </c>
      <c r="P111" s="39">
        <f t="shared" ca="1" si="31"/>
        <v>2201643.8356164382</v>
      </c>
    </row>
    <row r="112" spans="1:16" x14ac:dyDescent="0.25">
      <c r="A112" s="123" t="s">
        <v>1199</v>
      </c>
      <c r="B112" s="123" t="s">
        <v>841</v>
      </c>
      <c r="C112" s="124">
        <v>43040</v>
      </c>
      <c r="D112" s="125">
        <v>62767.15</v>
      </c>
      <c r="F112" s="4" t="s">
        <v>609</v>
      </c>
      <c r="G112" t="s">
        <v>831</v>
      </c>
      <c r="H112">
        <v>1</v>
      </c>
      <c r="I112" s="39">
        <f t="shared" si="33"/>
        <v>62767.15</v>
      </c>
      <c r="N112" s="183">
        <f t="shared" ca="1" si="29"/>
        <v>46204.530793402781</v>
      </c>
      <c r="O112" s="40">
        <f t="shared" ca="1" si="30"/>
        <v>8.668493150684931</v>
      </c>
      <c r="P112" s="39">
        <f t="shared" ca="1" si="31"/>
        <v>544096.60986301373</v>
      </c>
    </row>
    <row r="113" spans="1:19" x14ac:dyDescent="0.25">
      <c r="A113" t="s">
        <v>1200</v>
      </c>
      <c r="B113" t="s">
        <v>990</v>
      </c>
      <c r="C113" s="96">
        <v>43952</v>
      </c>
      <c r="D113">
        <v>129490.78</v>
      </c>
      <c r="F113" s="1" t="s">
        <v>825</v>
      </c>
      <c r="G113" t="s">
        <v>831</v>
      </c>
      <c r="H113">
        <v>1</v>
      </c>
      <c r="I113" s="39">
        <f t="shared" si="33"/>
        <v>129490.78</v>
      </c>
      <c r="N113" s="183">
        <f t="shared" ca="1" si="29"/>
        <v>46204.530793402781</v>
      </c>
      <c r="O113" s="40">
        <f t="shared" ca="1" si="30"/>
        <v>6.1698630136986301</v>
      </c>
      <c r="P113" s="39">
        <f t="shared" ca="1" si="31"/>
        <v>798940.37413698633</v>
      </c>
    </row>
    <row r="114" spans="1:19" x14ac:dyDescent="0.25">
      <c r="C114" s="127" t="s">
        <v>16</v>
      </c>
      <c r="D114" s="58"/>
      <c r="E114" s="58"/>
      <c r="F114" s="58"/>
      <c r="G114" s="58"/>
      <c r="H114" s="58"/>
      <c r="I114" s="59">
        <f>SUM(I87:I113)</f>
        <v>3127047.57</v>
      </c>
      <c r="J114" t="s">
        <v>378</v>
      </c>
      <c r="K114" s="121">
        <f>+I114</f>
        <v>3127047.57</v>
      </c>
      <c r="M114" s="96">
        <f>AVERAGE(C87:C113)</f>
        <v>41120.730769230766</v>
      </c>
      <c r="N114" s="183"/>
      <c r="Q114" s="39">
        <v>2</v>
      </c>
      <c r="R114" s="39">
        <f ca="1">SUM(P87:P113)*Q114</f>
        <v>80217114.390246585</v>
      </c>
      <c r="S114" s="3">
        <f ca="1">+R114/$R$338</f>
        <v>0.14952181572649431</v>
      </c>
    </row>
    <row r="115" spans="1:19" x14ac:dyDescent="0.25">
      <c r="A115" s="123"/>
    </row>
    <row r="116" spans="1:19" x14ac:dyDescent="0.25">
      <c r="A116" s="123"/>
      <c r="B116" s="123"/>
      <c r="C116" s="124"/>
      <c r="D116" s="125"/>
    </row>
    <row r="117" spans="1:19" x14ac:dyDescent="0.25">
      <c r="A117" s="123"/>
      <c r="B117" s="123"/>
      <c r="C117" s="124"/>
      <c r="D117" s="125"/>
      <c r="F117" s="4"/>
    </row>
    <row r="118" spans="1:19" x14ac:dyDescent="0.25">
      <c r="A118" s="127" t="s">
        <v>1201</v>
      </c>
      <c r="B118" s="58"/>
    </row>
    <row r="119" spans="1:19" x14ac:dyDescent="0.25">
      <c r="A119" t="s">
        <v>1202</v>
      </c>
      <c r="B119" t="s">
        <v>683</v>
      </c>
      <c r="C119" s="96">
        <v>40210</v>
      </c>
      <c r="D119">
        <v>62661.96</v>
      </c>
      <c r="F119" t="s">
        <v>438</v>
      </c>
      <c r="G119" t="s">
        <v>446</v>
      </c>
      <c r="H119">
        <v>1</v>
      </c>
      <c r="I119" s="39">
        <f t="shared" ref="I119:I134" si="34">+D119*H119</f>
        <v>62661.96</v>
      </c>
      <c r="N119" s="183">
        <f t="shared" ref="N119:N134" ca="1" si="35">NOW()</f>
        <v>46204.530793402781</v>
      </c>
      <c r="O119" s="40">
        <f t="shared" ref="O119:O134" ca="1" si="36">_xlfn.DAYS(N119,C119)/365</f>
        <v>16.421917808219177</v>
      </c>
      <c r="P119" s="39">
        <f t="shared" ref="P119:P134" ca="1" si="37">+O119*I119</f>
        <v>1029029.5568219178</v>
      </c>
    </row>
    <row r="120" spans="1:19" x14ac:dyDescent="0.25">
      <c r="A120" t="s">
        <v>1203</v>
      </c>
      <c r="B120" t="s">
        <v>684</v>
      </c>
      <c r="C120" s="96">
        <v>40210</v>
      </c>
      <c r="D120">
        <v>140696.5</v>
      </c>
      <c r="F120" t="s">
        <v>440</v>
      </c>
      <c r="G120" t="s">
        <v>446</v>
      </c>
      <c r="H120">
        <v>1</v>
      </c>
      <c r="I120" s="39">
        <f t="shared" si="34"/>
        <v>140696.5</v>
      </c>
      <c r="N120" s="183">
        <f t="shared" ca="1" si="35"/>
        <v>46204.530793402781</v>
      </c>
      <c r="O120" s="40">
        <f t="shared" ca="1" si="36"/>
        <v>16.421917808219177</v>
      </c>
      <c r="P120" s="39">
        <f t="shared" ca="1" si="37"/>
        <v>2310506.3589041093</v>
      </c>
    </row>
    <row r="121" spans="1:19" x14ac:dyDescent="0.25">
      <c r="A121" t="s">
        <v>1204</v>
      </c>
      <c r="B121" t="s">
        <v>679</v>
      </c>
      <c r="C121" s="96">
        <v>41306</v>
      </c>
      <c r="D121">
        <v>53739.29</v>
      </c>
      <c r="F121" t="s">
        <v>441</v>
      </c>
      <c r="G121" t="s">
        <v>831</v>
      </c>
      <c r="H121">
        <v>1</v>
      </c>
      <c r="I121" s="39">
        <f t="shared" si="34"/>
        <v>53739.29</v>
      </c>
      <c r="N121" s="183">
        <f t="shared" ca="1" si="35"/>
        <v>46204.530793402781</v>
      </c>
      <c r="O121" s="40">
        <f t="shared" ca="1" si="36"/>
        <v>13.419178082191781</v>
      </c>
      <c r="P121" s="39">
        <f t="shared" ca="1" si="37"/>
        <v>721137.10252054792</v>
      </c>
    </row>
    <row r="122" spans="1:19" x14ac:dyDescent="0.25">
      <c r="A122" t="s">
        <v>1205</v>
      </c>
      <c r="B122" t="s">
        <v>685</v>
      </c>
      <c r="C122" s="96">
        <v>42401</v>
      </c>
      <c r="D122">
        <v>48000</v>
      </c>
      <c r="F122" t="s">
        <v>440</v>
      </c>
      <c r="G122" t="s">
        <v>446</v>
      </c>
      <c r="H122">
        <v>1</v>
      </c>
      <c r="I122" s="39">
        <f t="shared" si="34"/>
        <v>48000</v>
      </c>
      <c r="N122" s="183">
        <f t="shared" ca="1" si="35"/>
        <v>46204.530793402781</v>
      </c>
      <c r="O122" s="40">
        <f t="shared" ca="1" si="36"/>
        <v>10.419178082191781</v>
      </c>
      <c r="P122" s="39">
        <f t="shared" ca="1" si="37"/>
        <v>500120.54794520547</v>
      </c>
    </row>
    <row r="123" spans="1:19" x14ac:dyDescent="0.25">
      <c r="A123" t="s">
        <v>1206</v>
      </c>
      <c r="B123" t="s">
        <v>680</v>
      </c>
      <c r="C123" s="96">
        <v>42767</v>
      </c>
      <c r="D123">
        <v>1480871.79</v>
      </c>
      <c r="F123" t="s">
        <v>440</v>
      </c>
      <c r="G123" t="s">
        <v>831</v>
      </c>
      <c r="H123">
        <v>1</v>
      </c>
      <c r="I123" s="39">
        <f t="shared" si="34"/>
        <v>1480871.79</v>
      </c>
      <c r="N123" s="183">
        <f t="shared" ca="1" si="35"/>
        <v>46204.530793402781</v>
      </c>
      <c r="O123" s="40">
        <f t="shared" ca="1" si="36"/>
        <v>9.4164383561643827</v>
      </c>
      <c r="P123" s="39">
        <f t="shared" ca="1" si="37"/>
        <v>13944537.923917808</v>
      </c>
    </row>
    <row r="124" spans="1:19" x14ac:dyDescent="0.25">
      <c r="A124" t="s">
        <v>1207</v>
      </c>
      <c r="B124" t="s">
        <v>681</v>
      </c>
      <c r="C124" s="96">
        <v>42795</v>
      </c>
      <c r="D124">
        <v>331740.42</v>
      </c>
      <c r="F124" t="s">
        <v>440</v>
      </c>
      <c r="G124" t="s">
        <v>831</v>
      </c>
      <c r="H124">
        <v>1</v>
      </c>
      <c r="I124" s="39">
        <f t="shared" si="34"/>
        <v>331740.42</v>
      </c>
      <c r="N124" s="183">
        <f t="shared" ca="1" si="35"/>
        <v>46204.530793402781</v>
      </c>
      <c r="O124" s="40">
        <f t="shared" ca="1" si="36"/>
        <v>9.3397260273972602</v>
      </c>
      <c r="P124" s="39">
        <f t="shared" ca="1" si="37"/>
        <v>3098364.6350136986</v>
      </c>
    </row>
    <row r="125" spans="1:19" x14ac:dyDescent="0.25">
      <c r="A125" t="s">
        <v>1208</v>
      </c>
      <c r="B125" t="s">
        <v>682</v>
      </c>
      <c r="C125" s="96">
        <v>42887</v>
      </c>
      <c r="D125">
        <v>24824.55</v>
      </c>
      <c r="F125" t="s">
        <v>440</v>
      </c>
      <c r="G125" t="s">
        <v>831</v>
      </c>
      <c r="H125">
        <v>1</v>
      </c>
      <c r="I125" s="39">
        <f t="shared" si="34"/>
        <v>24824.55</v>
      </c>
      <c r="N125" s="183">
        <f t="shared" ca="1" si="35"/>
        <v>46204.530793402781</v>
      </c>
      <c r="O125" s="40">
        <f t="shared" ca="1" si="36"/>
        <v>9.087671232876712</v>
      </c>
      <c r="P125" s="39">
        <f t="shared" ca="1" si="37"/>
        <v>225597.34890410956</v>
      </c>
    </row>
    <row r="126" spans="1:19" x14ac:dyDescent="0.25">
      <c r="A126" s="123" t="s">
        <v>1209</v>
      </c>
      <c r="B126" s="123" t="s">
        <v>843</v>
      </c>
      <c r="C126" s="124">
        <v>43009</v>
      </c>
      <c r="D126" s="125">
        <v>25424.240000000002</v>
      </c>
      <c r="F126" t="s">
        <v>441</v>
      </c>
      <c r="G126" t="s">
        <v>831</v>
      </c>
      <c r="H126">
        <v>1</v>
      </c>
      <c r="I126" s="39">
        <f t="shared" si="34"/>
        <v>25424.240000000002</v>
      </c>
      <c r="N126" s="183">
        <f t="shared" ca="1" si="35"/>
        <v>46204.530793402781</v>
      </c>
      <c r="O126" s="40">
        <f t="shared" ca="1" si="36"/>
        <v>8.7534246575342465</v>
      </c>
      <c r="P126" s="39">
        <f t="shared" ca="1" si="37"/>
        <v>222549.16931506852</v>
      </c>
    </row>
    <row r="127" spans="1:19" x14ac:dyDescent="0.25">
      <c r="A127" s="123" t="s">
        <v>1210</v>
      </c>
      <c r="B127" s="123" t="s">
        <v>842</v>
      </c>
      <c r="C127" s="124">
        <v>43132</v>
      </c>
      <c r="D127" s="125">
        <v>11255</v>
      </c>
      <c r="F127" t="s">
        <v>441</v>
      </c>
      <c r="G127" t="s">
        <v>446</v>
      </c>
      <c r="H127">
        <v>1</v>
      </c>
      <c r="I127" s="39">
        <f t="shared" si="34"/>
        <v>11255</v>
      </c>
      <c r="N127" s="183">
        <f t="shared" ca="1" si="35"/>
        <v>46204.530793402781</v>
      </c>
      <c r="O127" s="40">
        <f t="shared" ca="1" si="36"/>
        <v>8.4164383561643827</v>
      </c>
      <c r="P127" s="39">
        <f t="shared" ca="1" si="37"/>
        <v>94727.013698630122</v>
      </c>
    </row>
    <row r="128" spans="1:19" x14ac:dyDescent="0.25">
      <c r="A128" t="s">
        <v>1211</v>
      </c>
      <c r="B128" t="s">
        <v>686</v>
      </c>
      <c r="C128" s="96">
        <v>39692</v>
      </c>
      <c r="D128">
        <v>7315</v>
      </c>
      <c r="F128" t="s">
        <v>440</v>
      </c>
      <c r="G128" t="s">
        <v>446</v>
      </c>
      <c r="H128">
        <v>1</v>
      </c>
      <c r="I128" s="39">
        <f t="shared" si="34"/>
        <v>7315</v>
      </c>
      <c r="N128" s="183">
        <f t="shared" ca="1" si="35"/>
        <v>46204.530793402781</v>
      </c>
      <c r="O128" s="40">
        <f t="shared" ca="1" si="36"/>
        <v>17.841095890410958</v>
      </c>
      <c r="P128" s="39">
        <f t="shared" ca="1" si="37"/>
        <v>130507.61643835616</v>
      </c>
    </row>
    <row r="129" spans="1:19" x14ac:dyDescent="0.25">
      <c r="A129" t="s">
        <v>1212</v>
      </c>
      <c r="B129" t="s">
        <v>687</v>
      </c>
      <c r="C129" s="96">
        <v>39934</v>
      </c>
      <c r="D129">
        <v>2521.6999999999998</v>
      </c>
      <c r="F129" t="s">
        <v>440</v>
      </c>
      <c r="G129" t="s">
        <v>446</v>
      </c>
      <c r="H129">
        <v>1</v>
      </c>
      <c r="I129" s="39">
        <f t="shared" si="34"/>
        <v>2521.6999999999998</v>
      </c>
      <c r="N129" s="183">
        <f t="shared" ca="1" si="35"/>
        <v>46204.530793402781</v>
      </c>
      <c r="O129" s="40">
        <f t="shared" ca="1" si="36"/>
        <v>17.17808219178082</v>
      </c>
      <c r="P129" s="39">
        <f t="shared" ca="1" si="37"/>
        <v>43317.969863013692</v>
      </c>
    </row>
    <row r="130" spans="1:19" x14ac:dyDescent="0.25">
      <c r="A130" t="s">
        <v>1213</v>
      </c>
      <c r="B130" t="s">
        <v>688</v>
      </c>
      <c r="C130" s="96">
        <v>40330</v>
      </c>
      <c r="D130">
        <v>2499.12</v>
      </c>
      <c r="F130" t="s">
        <v>440</v>
      </c>
      <c r="G130" t="s">
        <v>446</v>
      </c>
      <c r="H130">
        <v>1</v>
      </c>
      <c r="I130" s="39">
        <f t="shared" ref="I130:I133" si="38">+D130*H130</f>
        <v>2499.12</v>
      </c>
      <c r="N130" s="183">
        <f t="shared" ca="1" si="35"/>
        <v>46204.530793402781</v>
      </c>
      <c r="O130" s="40">
        <f t="shared" ref="O130:O133" ca="1" si="39">_xlfn.DAYS(N130,C130)/365</f>
        <v>16.093150684931508</v>
      </c>
      <c r="P130" s="39">
        <f t="shared" ref="P130:P133" ca="1" si="40">+O130*I130</f>
        <v>40218.714739726027</v>
      </c>
    </row>
    <row r="131" spans="1:19" x14ac:dyDescent="0.25">
      <c r="A131" t="s">
        <v>1449</v>
      </c>
      <c r="B131" t="s">
        <v>1450</v>
      </c>
      <c r="C131" s="96">
        <v>45413</v>
      </c>
      <c r="D131">
        <v>34488</v>
      </c>
      <c r="F131" t="s">
        <v>440</v>
      </c>
      <c r="G131" t="s">
        <v>446</v>
      </c>
      <c r="H131">
        <v>1</v>
      </c>
      <c r="I131" s="39">
        <f t="shared" si="38"/>
        <v>34488</v>
      </c>
      <c r="N131" s="183">
        <f t="shared" ca="1" si="35"/>
        <v>46204.530793402781</v>
      </c>
      <c r="O131" s="40">
        <f t="shared" ca="1" si="39"/>
        <v>2.1671232876712327</v>
      </c>
      <c r="P131" s="39">
        <f t="shared" ca="1" si="40"/>
        <v>74739.747945205469</v>
      </c>
    </row>
    <row r="132" spans="1:19" x14ac:dyDescent="0.25">
      <c r="A132" t="s">
        <v>1451</v>
      </c>
      <c r="B132" t="s">
        <v>1452</v>
      </c>
      <c r="C132" s="96">
        <v>45597</v>
      </c>
      <c r="D132">
        <v>95509.77</v>
      </c>
      <c r="F132" t="s">
        <v>440</v>
      </c>
      <c r="G132" t="s">
        <v>446</v>
      </c>
      <c r="H132">
        <v>1</v>
      </c>
      <c r="I132" s="39">
        <f t="shared" si="38"/>
        <v>95509.77</v>
      </c>
      <c r="N132" s="183">
        <f t="shared" ca="1" si="35"/>
        <v>46204.530793402781</v>
      </c>
      <c r="O132" s="40">
        <f t="shared" ca="1" si="39"/>
        <v>1.6630136986301369</v>
      </c>
      <c r="P132" s="39">
        <f t="shared" ca="1" si="40"/>
        <v>158834.05586301369</v>
      </c>
    </row>
    <row r="133" spans="1:19" x14ac:dyDescent="0.25">
      <c r="A133" t="s">
        <v>1440</v>
      </c>
      <c r="B133" t="s">
        <v>1441</v>
      </c>
      <c r="C133" s="96">
        <v>45323</v>
      </c>
      <c r="D133">
        <v>48000</v>
      </c>
      <c r="F133" t="s">
        <v>440</v>
      </c>
      <c r="G133" t="s">
        <v>446</v>
      </c>
      <c r="H133">
        <v>1</v>
      </c>
      <c r="I133" s="39">
        <f t="shared" si="38"/>
        <v>48000</v>
      </c>
      <c r="N133" s="183">
        <f t="shared" ca="1" si="35"/>
        <v>46204.530793402781</v>
      </c>
      <c r="O133" s="40">
        <f t="shared" ca="1" si="39"/>
        <v>2.4136986301369863</v>
      </c>
      <c r="P133" s="39">
        <f t="shared" ca="1" si="40"/>
        <v>115857.53424657533</v>
      </c>
    </row>
    <row r="134" spans="1:19" x14ac:dyDescent="0.25">
      <c r="A134" t="s">
        <v>1446</v>
      </c>
      <c r="B134" t="s">
        <v>1441</v>
      </c>
      <c r="C134" s="96">
        <v>45474</v>
      </c>
      <c r="D134">
        <v>52000</v>
      </c>
      <c r="F134" t="s">
        <v>440</v>
      </c>
      <c r="G134" t="s">
        <v>446</v>
      </c>
      <c r="H134">
        <v>1</v>
      </c>
      <c r="I134" s="39">
        <f t="shared" si="34"/>
        <v>52000</v>
      </c>
      <c r="N134" s="183">
        <f t="shared" ca="1" si="35"/>
        <v>46204.530793402781</v>
      </c>
      <c r="O134" s="40">
        <f t="shared" ca="1" si="36"/>
        <v>2</v>
      </c>
      <c r="P134" s="39">
        <f t="shared" ca="1" si="37"/>
        <v>104000</v>
      </c>
    </row>
    <row r="135" spans="1:19" x14ac:dyDescent="0.25">
      <c r="C135" s="157" t="s">
        <v>472</v>
      </c>
      <c r="D135" s="58"/>
      <c r="E135" s="58"/>
      <c r="F135" s="58"/>
      <c r="G135" s="58"/>
      <c r="H135" s="58"/>
      <c r="I135" s="59">
        <f>SUM(I119:I134)</f>
        <v>2421547.3400000003</v>
      </c>
      <c r="J135" t="s">
        <v>378</v>
      </c>
      <c r="K135" s="39">
        <f>+I135</f>
        <v>2421547.3400000003</v>
      </c>
      <c r="M135" s="96"/>
      <c r="N135" s="183"/>
      <c r="Q135" s="39">
        <v>1</v>
      </c>
      <c r="R135" s="39">
        <f ca="1">SUM(P119:P134)*Q135</f>
        <v>22814045.296136986</v>
      </c>
      <c r="S135" s="3">
        <f ca="1">+R135/$R$338</f>
        <v>4.2524559785955707E-2</v>
      </c>
    </row>
    <row r="137" spans="1:19" x14ac:dyDescent="0.25">
      <c r="A137" s="127" t="s">
        <v>1214</v>
      </c>
      <c r="B137" s="58"/>
    </row>
    <row r="138" spans="1:19" x14ac:dyDescent="0.25">
      <c r="A138" t="s">
        <v>1215</v>
      </c>
      <c r="B138" t="s">
        <v>689</v>
      </c>
      <c r="C138" s="96">
        <v>39600</v>
      </c>
      <c r="D138">
        <v>7050</v>
      </c>
      <c r="F138" t="s">
        <v>442</v>
      </c>
      <c r="G138" t="s">
        <v>831</v>
      </c>
      <c r="H138">
        <v>1</v>
      </c>
      <c r="I138" s="39">
        <f t="shared" ref="I138:I169" si="41">+D138*H138</f>
        <v>7050</v>
      </c>
      <c r="N138" s="183">
        <f t="shared" ref="N138:N187" ca="1" si="42">NOW()</f>
        <v>46204.530793402781</v>
      </c>
      <c r="O138" s="40">
        <f t="shared" ref="O138:O187" ca="1" si="43">_xlfn.DAYS(N138,C138)/365</f>
        <v>18.093150684931508</v>
      </c>
      <c r="P138" s="39">
        <f t="shared" ref="P138:P187" ca="1" si="44">+O138*I138</f>
        <v>127556.71232876713</v>
      </c>
    </row>
    <row r="139" spans="1:19" x14ac:dyDescent="0.25">
      <c r="A139" t="s">
        <v>1216</v>
      </c>
      <c r="B139" t="s">
        <v>911</v>
      </c>
      <c r="C139" s="96">
        <v>39326</v>
      </c>
      <c r="D139">
        <v>300330.43</v>
      </c>
      <c r="F139" t="s">
        <v>442</v>
      </c>
      <c r="G139" t="s">
        <v>831</v>
      </c>
      <c r="H139">
        <v>1</v>
      </c>
      <c r="I139" s="39">
        <f t="shared" si="41"/>
        <v>300330.43</v>
      </c>
      <c r="N139" s="183">
        <f t="shared" ca="1" si="42"/>
        <v>46204.530793402781</v>
      </c>
      <c r="O139" s="40">
        <f t="shared" ca="1" si="43"/>
        <v>18.843835616438355</v>
      </c>
      <c r="P139" s="39">
        <f t="shared" ca="1" si="44"/>
        <v>5659377.2535342462</v>
      </c>
    </row>
    <row r="140" spans="1:19" x14ac:dyDescent="0.25">
      <c r="A140" t="s">
        <v>1217</v>
      </c>
      <c r="B140" t="s">
        <v>690</v>
      </c>
      <c r="C140" s="96">
        <v>39326</v>
      </c>
      <c r="D140">
        <v>569280.32999999996</v>
      </c>
      <c r="F140" t="s">
        <v>442</v>
      </c>
      <c r="G140" t="s">
        <v>831</v>
      </c>
      <c r="H140">
        <v>1</v>
      </c>
      <c r="I140" s="39">
        <f t="shared" si="41"/>
        <v>569280.32999999996</v>
      </c>
      <c r="N140" s="183">
        <f t="shared" ca="1" si="42"/>
        <v>46204.530793402781</v>
      </c>
      <c r="O140" s="40">
        <f t="shared" ca="1" si="43"/>
        <v>18.843835616438355</v>
      </c>
      <c r="P140" s="39">
        <f t="shared" ca="1" si="44"/>
        <v>10727424.958191779</v>
      </c>
    </row>
    <row r="141" spans="1:19" x14ac:dyDescent="0.25">
      <c r="A141" t="s">
        <v>1218</v>
      </c>
      <c r="B141" t="s">
        <v>691</v>
      </c>
      <c r="C141" s="96">
        <v>40087</v>
      </c>
      <c r="D141">
        <v>2659.19</v>
      </c>
      <c r="F141" t="s">
        <v>442</v>
      </c>
      <c r="G141" t="s">
        <v>831</v>
      </c>
      <c r="H141">
        <v>1</v>
      </c>
      <c r="I141" s="39">
        <f t="shared" si="41"/>
        <v>2659.19</v>
      </c>
      <c r="N141" s="183">
        <f t="shared" ca="1" si="42"/>
        <v>46204.530793402781</v>
      </c>
      <c r="O141" s="40">
        <f t="shared" ca="1" si="43"/>
        <v>16.758904109589039</v>
      </c>
      <c r="P141" s="39">
        <f t="shared" ca="1" si="44"/>
        <v>44565.110219178081</v>
      </c>
    </row>
    <row r="142" spans="1:19" x14ac:dyDescent="0.25">
      <c r="A142" t="s">
        <v>1219</v>
      </c>
      <c r="B142" t="s">
        <v>692</v>
      </c>
      <c r="C142" s="96">
        <v>39995</v>
      </c>
      <c r="D142">
        <v>2898</v>
      </c>
      <c r="F142" t="s">
        <v>442</v>
      </c>
      <c r="G142" t="s">
        <v>831</v>
      </c>
      <c r="H142">
        <v>1</v>
      </c>
      <c r="I142" s="39">
        <f t="shared" si="41"/>
        <v>2898</v>
      </c>
      <c r="N142" s="183">
        <f t="shared" ca="1" si="42"/>
        <v>46204.530793402781</v>
      </c>
      <c r="O142" s="40">
        <f t="shared" ca="1" si="43"/>
        <v>17.010958904109589</v>
      </c>
      <c r="P142" s="39">
        <f t="shared" ca="1" si="44"/>
        <v>49297.758904109593</v>
      </c>
    </row>
    <row r="143" spans="1:19" x14ac:dyDescent="0.25">
      <c r="A143" t="s">
        <v>1220</v>
      </c>
      <c r="B143" t="s">
        <v>693</v>
      </c>
      <c r="C143" s="96">
        <v>39387</v>
      </c>
      <c r="D143">
        <v>402569.83</v>
      </c>
      <c r="F143" t="s">
        <v>443</v>
      </c>
      <c r="G143" t="s">
        <v>831</v>
      </c>
      <c r="H143">
        <v>1</v>
      </c>
      <c r="I143" s="39">
        <f t="shared" si="41"/>
        <v>402569.83</v>
      </c>
      <c r="N143" s="183">
        <f t="shared" ca="1" si="42"/>
        <v>46204.530793402781</v>
      </c>
      <c r="O143" s="40">
        <f t="shared" ca="1" si="43"/>
        <v>18.676712328767124</v>
      </c>
      <c r="P143" s="39">
        <f t="shared" ca="1" si="44"/>
        <v>7518680.9071506858</v>
      </c>
    </row>
    <row r="144" spans="1:19" x14ac:dyDescent="0.25">
      <c r="A144" t="s">
        <v>1221</v>
      </c>
      <c r="B144" t="s">
        <v>694</v>
      </c>
      <c r="C144" s="96">
        <v>41183</v>
      </c>
      <c r="D144">
        <v>165400</v>
      </c>
      <c r="F144" t="s">
        <v>443</v>
      </c>
      <c r="G144" t="s">
        <v>831</v>
      </c>
      <c r="H144">
        <v>1</v>
      </c>
      <c r="I144" s="39">
        <f t="shared" si="41"/>
        <v>165400</v>
      </c>
      <c r="N144" s="183">
        <f t="shared" ca="1" si="42"/>
        <v>46204.530793402781</v>
      </c>
      <c r="O144" s="40">
        <f t="shared" ca="1" si="43"/>
        <v>13.756164383561643</v>
      </c>
      <c r="P144" s="39">
        <f t="shared" ca="1" si="44"/>
        <v>2275269.5890410957</v>
      </c>
    </row>
    <row r="145" spans="1:16" x14ac:dyDescent="0.25">
      <c r="A145" t="s">
        <v>1222</v>
      </c>
      <c r="B145" t="s">
        <v>984</v>
      </c>
      <c r="C145" s="96">
        <v>39387</v>
      </c>
      <c r="D145">
        <v>169991</v>
      </c>
      <c r="F145" t="s">
        <v>444</v>
      </c>
      <c r="G145" t="s">
        <v>831</v>
      </c>
      <c r="H145">
        <v>1</v>
      </c>
      <c r="I145" s="39">
        <f t="shared" si="41"/>
        <v>169991</v>
      </c>
      <c r="N145" s="183">
        <f t="shared" ca="1" si="42"/>
        <v>46204.530793402781</v>
      </c>
      <c r="O145" s="40">
        <f t="shared" ca="1" si="43"/>
        <v>18.676712328767124</v>
      </c>
      <c r="P145" s="39">
        <f t="shared" ca="1" si="44"/>
        <v>3174873.0054794522</v>
      </c>
    </row>
    <row r="146" spans="1:16" x14ac:dyDescent="0.25">
      <c r="A146" t="s">
        <v>1223</v>
      </c>
      <c r="B146" t="s">
        <v>695</v>
      </c>
      <c r="C146" s="96">
        <v>39873</v>
      </c>
      <c r="D146">
        <v>240000</v>
      </c>
      <c r="F146" t="s">
        <v>444</v>
      </c>
      <c r="G146" t="s">
        <v>831</v>
      </c>
      <c r="H146">
        <v>1</v>
      </c>
      <c r="I146" s="39">
        <f t="shared" si="41"/>
        <v>240000</v>
      </c>
      <c r="N146" s="183">
        <f t="shared" ca="1" si="42"/>
        <v>46204.530793402781</v>
      </c>
      <c r="O146" s="40">
        <f t="shared" ca="1" si="43"/>
        <v>17.345205479452055</v>
      </c>
      <c r="P146" s="39">
        <f t="shared" ca="1" si="44"/>
        <v>4162849.3150684931</v>
      </c>
    </row>
    <row r="147" spans="1:16" x14ac:dyDescent="0.25">
      <c r="A147" t="s">
        <v>1224</v>
      </c>
      <c r="B147" t="s">
        <v>696</v>
      </c>
      <c r="C147" s="96">
        <v>39904</v>
      </c>
      <c r="D147">
        <v>14970</v>
      </c>
      <c r="F147" t="s">
        <v>444</v>
      </c>
      <c r="G147" t="s">
        <v>831</v>
      </c>
      <c r="H147">
        <v>1</v>
      </c>
      <c r="I147" s="39">
        <f t="shared" si="41"/>
        <v>14970</v>
      </c>
      <c r="N147" s="183">
        <f t="shared" ca="1" si="42"/>
        <v>46204.530793402781</v>
      </c>
      <c r="O147" s="40">
        <f t="shared" ca="1" si="43"/>
        <v>17.260273972602739</v>
      </c>
      <c r="P147" s="39">
        <f t="shared" ca="1" si="44"/>
        <v>258386.30136986301</v>
      </c>
    </row>
    <row r="148" spans="1:16" x14ac:dyDescent="0.25">
      <c r="A148" t="s">
        <v>1225</v>
      </c>
      <c r="B148" t="s">
        <v>697</v>
      </c>
      <c r="C148" s="96">
        <v>42795</v>
      </c>
      <c r="D148">
        <v>9733.81</v>
      </c>
      <c r="F148" t="s">
        <v>444</v>
      </c>
      <c r="G148" t="s">
        <v>831</v>
      </c>
      <c r="H148">
        <v>1</v>
      </c>
      <c r="I148" s="39">
        <f t="shared" si="41"/>
        <v>9733.81</v>
      </c>
      <c r="N148" s="183">
        <f t="shared" ca="1" si="42"/>
        <v>46204.530793402781</v>
      </c>
      <c r="O148" s="40">
        <f t="shared" ca="1" si="43"/>
        <v>9.3397260273972602</v>
      </c>
      <c r="P148" s="39">
        <f t="shared" ca="1" si="44"/>
        <v>90911.11860273972</v>
      </c>
    </row>
    <row r="149" spans="1:16" x14ac:dyDescent="0.25">
      <c r="A149" t="s">
        <v>1226</v>
      </c>
      <c r="B149" t="s">
        <v>698</v>
      </c>
      <c r="C149" s="96">
        <v>39114</v>
      </c>
      <c r="D149">
        <v>2400</v>
      </c>
      <c r="F149" t="s">
        <v>444</v>
      </c>
      <c r="G149" t="s">
        <v>831</v>
      </c>
      <c r="H149">
        <v>1</v>
      </c>
      <c r="I149" s="39">
        <f t="shared" si="41"/>
        <v>2400</v>
      </c>
      <c r="N149" s="183">
        <f t="shared" ca="1" si="42"/>
        <v>46204.530793402781</v>
      </c>
      <c r="O149" s="40">
        <f t="shared" ca="1" si="43"/>
        <v>19.424657534246574</v>
      </c>
      <c r="P149" s="39">
        <f t="shared" ca="1" si="44"/>
        <v>46619.178082191778</v>
      </c>
    </row>
    <row r="150" spans="1:16" x14ac:dyDescent="0.25">
      <c r="A150" t="s">
        <v>1227</v>
      </c>
      <c r="B150" t="s">
        <v>699</v>
      </c>
      <c r="C150" s="96">
        <v>39448</v>
      </c>
      <c r="D150">
        <v>34707</v>
      </c>
      <c r="F150" t="s">
        <v>444</v>
      </c>
      <c r="G150" t="s">
        <v>831</v>
      </c>
      <c r="H150">
        <v>1</v>
      </c>
      <c r="I150" s="39">
        <f t="shared" si="41"/>
        <v>34707</v>
      </c>
      <c r="N150" s="183">
        <f t="shared" ca="1" si="42"/>
        <v>46204.530793402781</v>
      </c>
      <c r="O150" s="40">
        <f t="shared" ca="1" si="43"/>
        <v>18.509589041095889</v>
      </c>
      <c r="P150" s="39">
        <f t="shared" ca="1" si="44"/>
        <v>642412.30684931506</v>
      </c>
    </row>
    <row r="151" spans="1:16" x14ac:dyDescent="0.25">
      <c r="A151" t="s">
        <v>1228</v>
      </c>
      <c r="B151" t="s">
        <v>700</v>
      </c>
      <c r="C151" s="96">
        <v>39692</v>
      </c>
      <c r="D151">
        <v>6080</v>
      </c>
      <c r="F151" t="s">
        <v>444</v>
      </c>
      <c r="G151" t="s">
        <v>831</v>
      </c>
      <c r="H151">
        <v>1</v>
      </c>
      <c r="I151" s="39">
        <f t="shared" si="41"/>
        <v>6080</v>
      </c>
      <c r="N151" s="183">
        <f t="shared" ca="1" si="42"/>
        <v>46204.530793402781</v>
      </c>
      <c r="O151" s="40">
        <f t="shared" ca="1" si="43"/>
        <v>17.841095890410958</v>
      </c>
      <c r="P151" s="39">
        <f t="shared" ca="1" si="44"/>
        <v>108473.86301369863</v>
      </c>
    </row>
    <row r="152" spans="1:16" x14ac:dyDescent="0.25">
      <c r="A152" t="s">
        <v>1229</v>
      </c>
      <c r="B152" t="s">
        <v>701</v>
      </c>
      <c r="C152" s="96">
        <v>39845</v>
      </c>
      <c r="D152">
        <v>168500</v>
      </c>
      <c r="F152" t="s">
        <v>444</v>
      </c>
      <c r="G152" t="s">
        <v>831</v>
      </c>
      <c r="H152">
        <v>1</v>
      </c>
      <c r="I152" s="39">
        <f t="shared" si="41"/>
        <v>168500</v>
      </c>
      <c r="N152" s="183">
        <f t="shared" ca="1" si="42"/>
        <v>46204.530793402781</v>
      </c>
      <c r="O152" s="40">
        <f t="shared" ca="1" si="43"/>
        <v>17.421917808219177</v>
      </c>
      <c r="P152" s="39">
        <f t="shared" ca="1" si="44"/>
        <v>2935593.1506849313</v>
      </c>
    </row>
    <row r="153" spans="1:16" x14ac:dyDescent="0.25">
      <c r="A153" t="s">
        <v>1230</v>
      </c>
      <c r="B153" t="s">
        <v>702</v>
      </c>
      <c r="C153" s="96">
        <v>39845</v>
      </c>
      <c r="D153">
        <v>145870</v>
      </c>
      <c r="F153" t="s">
        <v>444</v>
      </c>
      <c r="G153" t="s">
        <v>831</v>
      </c>
      <c r="H153">
        <v>1</v>
      </c>
      <c r="I153" s="39">
        <f t="shared" si="41"/>
        <v>145870</v>
      </c>
      <c r="N153" s="183">
        <f t="shared" ca="1" si="42"/>
        <v>46204.530793402781</v>
      </c>
      <c r="O153" s="40">
        <f t="shared" ca="1" si="43"/>
        <v>17.421917808219177</v>
      </c>
      <c r="P153" s="39">
        <f t="shared" ca="1" si="44"/>
        <v>2541335.1506849313</v>
      </c>
    </row>
    <row r="154" spans="1:16" x14ac:dyDescent="0.25">
      <c r="A154" t="s">
        <v>1231</v>
      </c>
      <c r="B154" t="s">
        <v>703</v>
      </c>
      <c r="C154" s="96">
        <v>39845</v>
      </c>
      <c r="D154">
        <v>91094.25</v>
      </c>
      <c r="F154" t="s">
        <v>444</v>
      </c>
      <c r="G154" t="s">
        <v>831</v>
      </c>
      <c r="H154">
        <v>1</v>
      </c>
      <c r="I154" s="39">
        <f t="shared" si="41"/>
        <v>91094.25</v>
      </c>
      <c r="N154" s="183">
        <f t="shared" ca="1" si="42"/>
        <v>46204.530793402781</v>
      </c>
      <c r="O154" s="40">
        <f t="shared" ca="1" si="43"/>
        <v>17.421917808219177</v>
      </c>
      <c r="P154" s="39">
        <f t="shared" ca="1" si="44"/>
        <v>1587036.5363013698</v>
      </c>
    </row>
    <row r="155" spans="1:16" x14ac:dyDescent="0.25">
      <c r="A155" t="s">
        <v>1232</v>
      </c>
      <c r="B155" t="s">
        <v>704</v>
      </c>
      <c r="C155" s="96">
        <v>39904</v>
      </c>
      <c r="D155">
        <v>56300</v>
      </c>
      <c r="F155" t="s">
        <v>444</v>
      </c>
      <c r="G155" t="s">
        <v>831</v>
      </c>
      <c r="H155">
        <v>1</v>
      </c>
      <c r="I155" s="39">
        <f t="shared" si="41"/>
        <v>56300</v>
      </c>
      <c r="N155" s="183">
        <f t="shared" ca="1" si="42"/>
        <v>46204.530793402781</v>
      </c>
      <c r="O155" s="40">
        <f t="shared" ca="1" si="43"/>
        <v>17.260273972602739</v>
      </c>
      <c r="P155" s="39">
        <f t="shared" ca="1" si="44"/>
        <v>971753.42465753423</v>
      </c>
    </row>
    <row r="156" spans="1:16" x14ac:dyDescent="0.25">
      <c r="A156" t="s">
        <v>1233</v>
      </c>
      <c r="B156" t="s">
        <v>705</v>
      </c>
      <c r="C156" s="96">
        <v>39934</v>
      </c>
      <c r="D156">
        <v>131760</v>
      </c>
      <c r="F156" t="s">
        <v>444</v>
      </c>
      <c r="G156" t="s">
        <v>831</v>
      </c>
      <c r="H156">
        <v>1</v>
      </c>
      <c r="I156" s="39">
        <f t="shared" si="41"/>
        <v>131760</v>
      </c>
      <c r="N156" s="183">
        <f t="shared" ca="1" si="42"/>
        <v>46204.530793402781</v>
      </c>
      <c r="O156" s="40">
        <f t="shared" ca="1" si="43"/>
        <v>17.17808219178082</v>
      </c>
      <c r="P156" s="39">
        <f t="shared" ca="1" si="44"/>
        <v>2263384.1095890407</v>
      </c>
    </row>
    <row r="157" spans="1:16" x14ac:dyDescent="0.25">
      <c r="A157" t="s">
        <v>1234</v>
      </c>
      <c r="B157" t="s">
        <v>706</v>
      </c>
      <c r="C157" s="96">
        <v>39965</v>
      </c>
      <c r="D157">
        <v>66340</v>
      </c>
      <c r="F157" t="s">
        <v>444</v>
      </c>
      <c r="G157" t="s">
        <v>831</v>
      </c>
      <c r="H157">
        <v>1</v>
      </c>
      <c r="I157" s="39">
        <f t="shared" si="41"/>
        <v>66340</v>
      </c>
      <c r="N157" s="183">
        <f t="shared" ca="1" si="42"/>
        <v>46204.530793402781</v>
      </c>
      <c r="O157" s="40">
        <f t="shared" ca="1" si="43"/>
        <v>17.093150684931508</v>
      </c>
      <c r="P157" s="39">
        <f t="shared" ca="1" si="44"/>
        <v>1133959.6164383562</v>
      </c>
    </row>
    <row r="158" spans="1:16" x14ac:dyDescent="0.25">
      <c r="A158" t="s">
        <v>1235</v>
      </c>
      <c r="B158" t="s">
        <v>707</v>
      </c>
      <c r="C158" s="96">
        <v>40179</v>
      </c>
      <c r="D158">
        <v>13139.58</v>
      </c>
      <c r="F158" t="s">
        <v>444</v>
      </c>
      <c r="G158" t="s">
        <v>831</v>
      </c>
      <c r="H158">
        <v>1</v>
      </c>
      <c r="I158" s="39">
        <f t="shared" si="41"/>
        <v>13139.58</v>
      </c>
      <c r="N158" s="183">
        <f t="shared" ca="1" si="42"/>
        <v>46204.530793402781</v>
      </c>
      <c r="O158" s="40">
        <f t="shared" ca="1" si="43"/>
        <v>16.506849315068493</v>
      </c>
      <c r="P158" s="39">
        <f t="shared" ca="1" si="44"/>
        <v>216893.06712328768</v>
      </c>
    </row>
    <row r="159" spans="1:16" x14ac:dyDescent="0.25">
      <c r="A159" t="s">
        <v>1236</v>
      </c>
      <c r="B159" t="s">
        <v>708</v>
      </c>
      <c r="C159" s="96">
        <v>40179</v>
      </c>
      <c r="D159">
        <v>57200</v>
      </c>
      <c r="F159" t="s">
        <v>444</v>
      </c>
      <c r="G159" t="s">
        <v>831</v>
      </c>
      <c r="H159">
        <v>1</v>
      </c>
      <c r="I159" s="39">
        <f t="shared" si="41"/>
        <v>57200</v>
      </c>
      <c r="N159" s="183">
        <f t="shared" ca="1" si="42"/>
        <v>46204.530793402781</v>
      </c>
      <c r="O159" s="40">
        <f t="shared" ca="1" si="43"/>
        <v>16.506849315068493</v>
      </c>
      <c r="P159" s="39">
        <f t="shared" ca="1" si="44"/>
        <v>944191.78082191781</v>
      </c>
    </row>
    <row r="160" spans="1:16" x14ac:dyDescent="0.25">
      <c r="A160" t="s">
        <v>1237</v>
      </c>
      <c r="B160" t="s">
        <v>709</v>
      </c>
      <c r="C160" s="96">
        <v>40118</v>
      </c>
      <c r="D160">
        <v>9429</v>
      </c>
      <c r="F160" t="s">
        <v>444</v>
      </c>
      <c r="G160" t="s">
        <v>831</v>
      </c>
      <c r="H160">
        <v>1</v>
      </c>
      <c r="I160" s="39">
        <f t="shared" si="41"/>
        <v>9429</v>
      </c>
      <c r="N160" s="183">
        <f t="shared" ca="1" si="42"/>
        <v>46204.530793402781</v>
      </c>
      <c r="O160" s="40">
        <f t="shared" ca="1" si="43"/>
        <v>16.673972602739727</v>
      </c>
      <c r="P160" s="39">
        <f t="shared" ca="1" si="44"/>
        <v>157218.88767123289</v>
      </c>
    </row>
    <row r="161" spans="1:16" x14ac:dyDescent="0.25">
      <c r="A161" t="s">
        <v>1238</v>
      </c>
      <c r="B161" t="s">
        <v>710</v>
      </c>
      <c r="C161" s="96">
        <v>40057</v>
      </c>
      <c r="D161">
        <v>1972</v>
      </c>
      <c r="F161" t="s">
        <v>444</v>
      </c>
      <c r="G161" t="s">
        <v>831</v>
      </c>
      <c r="H161">
        <v>1</v>
      </c>
      <c r="I161" s="39">
        <f t="shared" si="41"/>
        <v>1972</v>
      </c>
      <c r="N161" s="183">
        <f t="shared" ca="1" si="42"/>
        <v>46204.530793402781</v>
      </c>
      <c r="O161" s="40">
        <f t="shared" ca="1" si="43"/>
        <v>16.841095890410958</v>
      </c>
      <c r="P161" s="39">
        <f t="shared" ca="1" si="44"/>
        <v>33210.641095890409</v>
      </c>
    </row>
    <row r="162" spans="1:16" x14ac:dyDescent="0.25">
      <c r="A162" t="s">
        <v>1239</v>
      </c>
      <c r="B162" t="s">
        <v>711</v>
      </c>
      <c r="C162" s="96">
        <v>39965</v>
      </c>
      <c r="D162">
        <v>1560</v>
      </c>
      <c r="F162" t="s">
        <v>444</v>
      </c>
      <c r="G162" t="s">
        <v>831</v>
      </c>
      <c r="H162">
        <v>1</v>
      </c>
      <c r="I162" s="39">
        <f t="shared" si="41"/>
        <v>1560</v>
      </c>
      <c r="N162" s="183">
        <f t="shared" ca="1" si="42"/>
        <v>46204.530793402781</v>
      </c>
      <c r="O162" s="40">
        <f t="shared" ca="1" si="43"/>
        <v>17.093150684931508</v>
      </c>
      <c r="P162" s="39">
        <f t="shared" ca="1" si="44"/>
        <v>26665.315068493153</v>
      </c>
    </row>
    <row r="163" spans="1:16" x14ac:dyDescent="0.25">
      <c r="A163" t="s">
        <v>1240</v>
      </c>
      <c r="B163" t="s">
        <v>712</v>
      </c>
      <c r="C163" s="96">
        <v>40087</v>
      </c>
      <c r="D163">
        <v>1875</v>
      </c>
      <c r="F163" t="s">
        <v>444</v>
      </c>
      <c r="G163" t="s">
        <v>831</v>
      </c>
      <c r="H163">
        <v>1</v>
      </c>
      <c r="I163" s="39">
        <f t="shared" si="41"/>
        <v>1875</v>
      </c>
      <c r="N163" s="183">
        <f t="shared" ca="1" si="42"/>
        <v>46204.530793402781</v>
      </c>
      <c r="O163" s="40">
        <f t="shared" ca="1" si="43"/>
        <v>16.758904109589039</v>
      </c>
      <c r="P163" s="39">
        <f t="shared" ca="1" si="44"/>
        <v>31422.945205479449</v>
      </c>
    </row>
    <row r="164" spans="1:16" x14ac:dyDescent="0.25">
      <c r="A164" t="s">
        <v>1241</v>
      </c>
      <c r="B164" t="s">
        <v>713</v>
      </c>
      <c r="C164" s="96">
        <v>40087</v>
      </c>
      <c r="D164">
        <v>5600</v>
      </c>
      <c r="F164" t="s">
        <v>444</v>
      </c>
      <c r="G164" t="s">
        <v>831</v>
      </c>
      <c r="H164">
        <v>1</v>
      </c>
      <c r="I164" s="39">
        <f t="shared" si="41"/>
        <v>5600</v>
      </c>
      <c r="N164" s="183">
        <f t="shared" ca="1" si="42"/>
        <v>46204.530793402781</v>
      </c>
      <c r="O164" s="40">
        <f t="shared" ca="1" si="43"/>
        <v>16.758904109589039</v>
      </c>
      <c r="P164" s="39">
        <f t="shared" ca="1" si="44"/>
        <v>93849.863013698618</v>
      </c>
    </row>
    <row r="165" spans="1:16" x14ac:dyDescent="0.25">
      <c r="A165" t="s">
        <v>1242</v>
      </c>
      <c r="B165" t="s">
        <v>714</v>
      </c>
      <c r="C165" s="96">
        <v>40210</v>
      </c>
      <c r="D165">
        <v>13660</v>
      </c>
      <c r="F165" t="s">
        <v>444</v>
      </c>
      <c r="G165" t="s">
        <v>831</v>
      </c>
      <c r="H165">
        <v>1</v>
      </c>
      <c r="I165" s="39">
        <f t="shared" si="41"/>
        <v>13660</v>
      </c>
      <c r="N165" s="183">
        <f t="shared" ca="1" si="42"/>
        <v>46204.530793402781</v>
      </c>
      <c r="O165" s="40">
        <f t="shared" ca="1" si="43"/>
        <v>16.421917808219177</v>
      </c>
      <c r="P165" s="39">
        <f t="shared" ca="1" si="44"/>
        <v>224323.39726027395</v>
      </c>
    </row>
    <row r="166" spans="1:16" x14ac:dyDescent="0.25">
      <c r="A166" t="s">
        <v>1243</v>
      </c>
      <c r="B166" t="s">
        <v>715</v>
      </c>
      <c r="C166" s="96">
        <v>40210</v>
      </c>
      <c r="D166">
        <v>2500</v>
      </c>
      <c r="F166" t="s">
        <v>444</v>
      </c>
      <c r="G166" t="s">
        <v>831</v>
      </c>
      <c r="H166">
        <v>1</v>
      </c>
      <c r="I166" s="39">
        <f t="shared" si="41"/>
        <v>2500</v>
      </c>
      <c r="N166" s="183">
        <f t="shared" ca="1" si="42"/>
        <v>46204.530793402781</v>
      </c>
      <c r="O166" s="40">
        <f t="shared" ca="1" si="43"/>
        <v>16.421917808219177</v>
      </c>
      <c r="P166" s="39">
        <f t="shared" ca="1" si="44"/>
        <v>41054.794520547941</v>
      </c>
    </row>
    <row r="167" spans="1:16" x14ac:dyDescent="0.25">
      <c r="A167" t="s">
        <v>1244</v>
      </c>
      <c r="B167" t="s">
        <v>716</v>
      </c>
      <c r="C167" s="96">
        <v>40238</v>
      </c>
      <c r="D167">
        <v>2000</v>
      </c>
      <c r="F167" t="s">
        <v>444</v>
      </c>
      <c r="G167" t="s">
        <v>831</v>
      </c>
      <c r="H167">
        <v>1</v>
      </c>
      <c r="I167" s="39">
        <f t="shared" si="41"/>
        <v>2000</v>
      </c>
      <c r="N167" s="183">
        <f t="shared" ca="1" si="42"/>
        <v>46204.530793402781</v>
      </c>
      <c r="O167" s="40">
        <f t="shared" ca="1" si="43"/>
        <v>16.345205479452055</v>
      </c>
      <c r="P167" s="39">
        <f t="shared" ca="1" si="44"/>
        <v>32690.410958904111</v>
      </c>
    </row>
    <row r="168" spans="1:16" x14ac:dyDescent="0.25">
      <c r="A168" t="s">
        <v>1245</v>
      </c>
      <c r="B168" t="s">
        <v>717</v>
      </c>
      <c r="C168" s="96">
        <v>40483</v>
      </c>
      <c r="D168">
        <v>15130</v>
      </c>
      <c r="F168" t="s">
        <v>444</v>
      </c>
      <c r="G168" t="s">
        <v>831</v>
      </c>
      <c r="H168">
        <v>1</v>
      </c>
      <c r="I168" s="39">
        <f t="shared" si="41"/>
        <v>15130</v>
      </c>
      <c r="N168" s="183">
        <f t="shared" ca="1" si="42"/>
        <v>46204.530793402781</v>
      </c>
      <c r="O168" s="40">
        <f t="shared" ca="1" si="43"/>
        <v>15.673972602739726</v>
      </c>
      <c r="P168" s="39">
        <f t="shared" ca="1" si="44"/>
        <v>237147.20547945204</v>
      </c>
    </row>
    <row r="169" spans="1:16" x14ac:dyDescent="0.25">
      <c r="A169" t="s">
        <v>1246</v>
      </c>
      <c r="B169" t="s">
        <v>718</v>
      </c>
      <c r="C169" s="96">
        <v>40664</v>
      </c>
      <c r="D169">
        <v>6684</v>
      </c>
      <c r="F169" t="s">
        <v>444</v>
      </c>
      <c r="G169" t="s">
        <v>831</v>
      </c>
      <c r="H169">
        <v>1</v>
      </c>
      <c r="I169" s="39">
        <f t="shared" si="41"/>
        <v>6684</v>
      </c>
      <c r="N169" s="183">
        <f t="shared" ca="1" si="42"/>
        <v>46204.530793402781</v>
      </c>
      <c r="O169" s="40">
        <f t="shared" ca="1" si="43"/>
        <v>15.178082191780822</v>
      </c>
      <c r="P169" s="39">
        <f t="shared" ca="1" si="44"/>
        <v>101450.30136986301</v>
      </c>
    </row>
    <row r="170" spans="1:16" x14ac:dyDescent="0.25">
      <c r="A170" t="s">
        <v>1247</v>
      </c>
      <c r="B170" t="s">
        <v>719</v>
      </c>
      <c r="C170" s="96">
        <v>41609</v>
      </c>
      <c r="D170">
        <v>24390</v>
      </c>
      <c r="F170" t="s">
        <v>444</v>
      </c>
      <c r="G170" t="s">
        <v>831</v>
      </c>
      <c r="H170">
        <v>1</v>
      </c>
      <c r="I170" s="39">
        <f t="shared" ref="I170:I187" si="45">+D170*H170</f>
        <v>24390</v>
      </c>
      <c r="N170" s="183">
        <f t="shared" ca="1" si="42"/>
        <v>46204.530793402781</v>
      </c>
      <c r="O170" s="40">
        <f t="shared" ca="1" si="43"/>
        <v>12.58904109589041</v>
      </c>
      <c r="P170" s="39">
        <f t="shared" ca="1" si="44"/>
        <v>307046.71232876711</v>
      </c>
    </row>
    <row r="171" spans="1:16" x14ac:dyDescent="0.25">
      <c r="A171" t="s">
        <v>1248</v>
      </c>
      <c r="B171" t="s">
        <v>720</v>
      </c>
      <c r="C171" s="96">
        <v>41671</v>
      </c>
      <c r="D171">
        <v>139441</v>
      </c>
      <c r="F171" t="s">
        <v>444</v>
      </c>
      <c r="G171" t="s">
        <v>831</v>
      </c>
      <c r="H171">
        <v>1</v>
      </c>
      <c r="I171" s="39">
        <f t="shared" si="45"/>
        <v>139441</v>
      </c>
      <c r="N171" s="183">
        <f t="shared" ca="1" si="42"/>
        <v>46204.530793402781</v>
      </c>
      <c r="O171" s="40">
        <f t="shared" ca="1" si="43"/>
        <v>12.419178082191781</v>
      </c>
      <c r="P171" s="39">
        <f t="shared" ca="1" si="44"/>
        <v>1731742.610958904</v>
      </c>
    </row>
    <row r="172" spans="1:16" x14ac:dyDescent="0.25">
      <c r="A172" t="s">
        <v>1249</v>
      </c>
      <c r="B172" t="s">
        <v>721</v>
      </c>
      <c r="C172" s="96">
        <v>42430</v>
      </c>
      <c r="D172">
        <v>89788</v>
      </c>
      <c r="F172" t="s">
        <v>444</v>
      </c>
      <c r="G172" t="s">
        <v>831</v>
      </c>
      <c r="H172">
        <v>1</v>
      </c>
      <c r="I172" s="39">
        <f t="shared" si="45"/>
        <v>89788</v>
      </c>
      <c r="N172" s="183">
        <f t="shared" ca="1" si="42"/>
        <v>46204.530793402781</v>
      </c>
      <c r="O172" s="40">
        <f t="shared" ca="1" si="43"/>
        <v>10.33972602739726</v>
      </c>
      <c r="P172" s="39">
        <f t="shared" ca="1" si="44"/>
        <v>928383.32054794522</v>
      </c>
    </row>
    <row r="173" spans="1:16" x14ac:dyDescent="0.25">
      <c r="A173" s="176" t="s">
        <v>1030</v>
      </c>
      <c r="B173" s="176" t="s">
        <v>1031</v>
      </c>
      <c r="C173" s="177">
        <v>44228</v>
      </c>
      <c r="D173">
        <v>68810</v>
      </c>
      <c r="F173" t="s">
        <v>444</v>
      </c>
      <c r="G173" s="140" t="s">
        <v>831</v>
      </c>
      <c r="H173" s="140">
        <v>1</v>
      </c>
      <c r="I173" s="39">
        <f t="shared" ref="I173" si="46">+D173*H173</f>
        <v>68810</v>
      </c>
      <c r="N173" s="183">
        <f t="shared" ca="1" si="42"/>
        <v>46204.530793402781</v>
      </c>
      <c r="O173" s="40">
        <f t="shared" ca="1" si="43"/>
        <v>5.4136986301369863</v>
      </c>
      <c r="P173" s="39">
        <f t="shared" ca="1" si="44"/>
        <v>372516.60273972602</v>
      </c>
    </row>
    <row r="174" spans="1:16" x14ac:dyDescent="0.25">
      <c r="A174" t="s">
        <v>1250</v>
      </c>
      <c r="B174" t="s">
        <v>722</v>
      </c>
      <c r="C174" s="96">
        <v>42491</v>
      </c>
      <c r="D174">
        <v>53745.23</v>
      </c>
      <c r="F174" t="s">
        <v>444</v>
      </c>
      <c r="G174" t="s">
        <v>831</v>
      </c>
      <c r="H174">
        <v>1</v>
      </c>
      <c r="I174" s="39">
        <f t="shared" si="45"/>
        <v>53745.23</v>
      </c>
      <c r="N174" s="183">
        <f t="shared" ca="1" si="42"/>
        <v>46204.530793402781</v>
      </c>
      <c r="O174" s="40">
        <f t="shared" ca="1" si="43"/>
        <v>10.172602739726027</v>
      </c>
      <c r="P174" s="39">
        <f t="shared" ca="1" si="44"/>
        <v>546728.87394520547</v>
      </c>
    </row>
    <row r="175" spans="1:16" x14ac:dyDescent="0.25">
      <c r="A175" t="s">
        <v>1251</v>
      </c>
      <c r="B175" t="s">
        <v>977</v>
      </c>
      <c r="C175" s="96">
        <v>43040</v>
      </c>
      <c r="D175">
        <v>9714.91</v>
      </c>
      <c r="F175" t="s">
        <v>445</v>
      </c>
      <c r="G175" t="s">
        <v>831</v>
      </c>
      <c r="H175">
        <v>1</v>
      </c>
      <c r="I175" s="39">
        <f t="shared" si="45"/>
        <v>9714.91</v>
      </c>
      <c r="N175" s="183">
        <f t="shared" ca="1" si="42"/>
        <v>46204.530793402781</v>
      </c>
      <c r="O175" s="40">
        <f t="shared" ca="1" si="43"/>
        <v>8.668493150684931</v>
      </c>
      <c r="P175" s="39">
        <f t="shared" ca="1" si="44"/>
        <v>84213.630794520548</v>
      </c>
    </row>
    <row r="176" spans="1:16" x14ac:dyDescent="0.25">
      <c r="A176" t="s">
        <v>1252</v>
      </c>
      <c r="B176" t="s">
        <v>723</v>
      </c>
      <c r="C176" s="96">
        <v>39387</v>
      </c>
      <c r="D176">
        <v>282376.90999999997</v>
      </c>
      <c r="F176" t="s">
        <v>445</v>
      </c>
      <c r="G176" t="s">
        <v>831</v>
      </c>
      <c r="H176">
        <v>1</v>
      </c>
      <c r="I176" s="39">
        <f t="shared" si="45"/>
        <v>282376.90999999997</v>
      </c>
      <c r="N176" s="183">
        <f t="shared" ca="1" si="42"/>
        <v>46204.530793402781</v>
      </c>
      <c r="O176" s="40">
        <f t="shared" ca="1" si="43"/>
        <v>18.676712328767124</v>
      </c>
      <c r="P176" s="39">
        <f t="shared" ca="1" si="44"/>
        <v>5273872.3163561644</v>
      </c>
    </row>
    <row r="177" spans="1:16" x14ac:dyDescent="0.25">
      <c r="A177" t="s">
        <v>1253</v>
      </c>
      <c r="B177" t="s">
        <v>724</v>
      </c>
      <c r="C177" s="96">
        <v>39692</v>
      </c>
      <c r="D177">
        <v>15109.2</v>
      </c>
      <c r="F177" t="s">
        <v>445</v>
      </c>
      <c r="G177" t="s">
        <v>831</v>
      </c>
      <c r="H177">
        <v>1</v>
      </c>
      <c r="I177" s="39">
        <f t="shared" si="45"/>
        <v>15109.2</v>
      </c>
      <c r="N177" s="183">
        <f t="shared" ca="1" si="42"/>
        <v>46204.530793402781</v>
      </c>
      <c r="O177" s="40">
        <f t="shared" ca="1" si="43"/>
        <v>17.841095890410958</v>
      </c>
      <c r="P177" s="39">
        <f t="shared" ca="1" si="44"/>
        <v>269564.68602739729</v>
      </c>
    </row>
    <row r="178" spans="1:16" x14ac:dyDescent="0.25">
      <c r="A178" t="s">
        <v>1254</v>
      </c>
      <c r="B178" t="s">
        <v>725</v>
      </c>
      <c r="C178" s="96">
        <v>39814</v>
      </c>
      <c r="D178">
        <v>4820</v>
      </c>
      <c r="F178" t="s">
        <v>445</v>
      </c>
      <c r="G178" t="s">
        <v>831</v>
      </c>
      <c r="H178">
        <v>1</v>
      </c>
      <c r="I178" s="39">
        <f t="shared" si="45"/>
        <v>4820</v>
      </c>
      <c r="N178" s="183">
        <f t="shared" ca="1" si="42"/>
        <v>46204.530793402781</v>
      </c>
      <c r="O178" s="40">
        <f t="shared" ca="1" si="43"/>
        <v>17.506849315068493</v>
      </c>
      <c r="P178" s="39">
        <f t="shared" ca="1" si="44"/>
        <v>84383.013698630137</v>
      </c>
    </row>
    <row r="179" spans="1:16" x14ac:dyDescent="0.25">
      <c r="A179" t="s">
        <v>1255</v>
      </c>
      <c r="B179" t="s">
        <v>726</v>
      </c>
      <c r="C179" s="96">
        <v>39845</v>
      </c>
      <c r="D179">
        <v>5760</v>
      </c>
      <c r="F179" t="s">
        <v>445</v>
      </c>
      <c r="G179" t="s">
        <v>831</v>
      </c>
      <c r="H179">
        <v>1</v>
      </c>
      <c r="I179" s="39">
        <f t="shared" si="45"/>
        <v>5760</v>
      </c>
      <c r="N179" s="183">
        <f t="shared" ca="1" si="42"/>
        <v>46204.530793402781</v>
      </c>
      <c r="O179" s="40">
        <f t="shared" ca="1" si="43"/>
        <v>17.421917808219177</v>
      </c>
      <c r="P179" s="39">
        <f t="shared" ca="1" si="44"/>
        <v>100350.24657534246</v>
      </c>
    </row>
    <row r="180" spans="1:16" x14ac:dyDescent="0.25">
      <c r="A180" t="s">
        <v>1256</v>
      </c>
      <c r="B180" t="s">
        <v>727</v>
      </c>
      <c r="C180" s="96">
        <v>39845</v>
      </c>
      <c r="D180">
        <v>9920</v>
      </c>
      <c r="F180" t="s">
        <v>445</v>
      </c>
      <c r="G180" t="s">
        <v>831</v>
      </c>
      <c r="H180">
        <v>1</v>
      </c>
      <c r="I180" s="39">
        <f t="shared" si="45"/>
        <v>9920</v>
      </c>
      <c r="N180" s="183">
        <f t="shared" ca="1" si="42"/>
        <v>46204.530793402781</v>
      </c>
      <c r="O180" s="40">
        <f t="shared" ca="1" si="43"/>
        <v>17.421917808219177</v>
      </c>
      <c r="P180" s="39">
        <f t="shared" ca="1" si="44"/>
        <v>172825.42465753423</v>
      </c>
    </row>
    <row r="181" spans="1:16" x14ac:dyDescent="0.25">
      <c r="A181" t="s">
        <v>1257</v>
      </c>
      <c r="B181" t="s">
        <v>728</v>
      </c>
      <c r="C181" s="96">
        <v>39873</v>
      </c>
      <c r="D181">
        <v>27600</v>
      </c>
      <c r="F181" t="s">
        <v>445</v>
      </c>
      <c r="G181" t="s">
        <v>831</v>
      </c>
      <c r="H181">
        <v>1</v>
      </c>
      <c r="I181" s="39">
        <f t="shared" si="45"/>
        <v>27600</v>
      </c>
      <c r="N181" s="183">
        <f t="shared" ca="1" si="42"/>
        <v>46204.530793402781</v>
      </c>
      <c r="O181" s="40">
        <f t="shared" ca="1" si="43"/>
        <v>17.345205479452055</v>
      </c>
      <c r="P181" s="39">
        <f t="shared" ca="1" si="44"/>
        <v>478727.67123287672</v>
      </c>
    </row>
    <row r="182" spans="1:16" x14ac:dyDescent="0.25">
      <c r="A182" t="s">
        <v>1258</v>
      </c>
      <c r="B182" t="s">
        <v>729</v>
      </c>
      <c r="C182" s="96">
        <v>39873</v>
      </c>
      <c r="D182">
        <v>6920</v>
      </c>
      <c r="F182" t="s">
        <v>445</v>
      </c>
      <c r="G182" t="s">
        <v>831</v>
      </c>
      <c r="H182">
        <v>1</v>
      </c>
      <c r="I182" s="39">
        <f t="shared" si="45"/>
        <v>6920</v>
      </c>
      <c r="N182" s="183">
        <f t="shared" ca="1" si="42"/>
        <v>46204.530793402781</v>
      </c>
      <c r="O182" s="40">
        <f t="shared" ca="1" si="43"/>
        <v>17.345205479452055</v>
      </c>
      <c r="P182" s="39">
        <f t="shared" ca="1" si="44"/>
        <v>120028.82191780822</v>
      </c>
    </row>
    <row r="183" spans="1:16" x14ac:dyDescent="0.25">
      <c r="A183" s="141" t="s">
        <v>1259</v>
      </c>
      <c r="B183" s="141" t="s">
        <v>965</v>
      </c>
      <c r="C183" s="142">
        <v>43586</v>
      </c>
      <c r="D183" s="143">
        <v>19970</v>
      </c>
      <c r="E183" s="140"/>
      <c r="F183" s="140" t="s">
        <v>445</v>
      </c>
      <c r="G183" s="140" t="s">
        <v>831</v>
      </c>
      <c r="H183" s="140">
        <v>1</v>
      </c>
      <c r="I183" s="39">
        <f t="shared" si="45"/>
        <v>19970</v>
      </c>
      <c r="N183" s="183">
        <f t="shared" ca="1" si="42"/>
        <v>46204.530793402781</v>
      </c>
      <c r="O183" s="40">
        <f t="shared" ca="1" si="43"/>
        <v>7.1726027397260275</v>
      </c>
      <c r="P183" s="39">
        <f t="shared" ca="1" si="44"/>
        <v>143236.87671232875</v>
      </c>
    </row>
    <row r="184" spans="1:16" x14ac:dyDescent="0.25">
      <c r="A184" s="141" t="s">
        <v>1260</v>
      </c>
      <c r="B184" s="141" t="s">
        <v>966</v>
      </c>
      <c r="C184" s="142">
        <v>43525</v>
      </c>
      <c r="D184" s="143">
        <v>6310</v>
      </c>
      <c r="E184" s="140"/>
      <c r="F184" s="140" t="s">
        <v>445</v>
      </c>
      <c r="G184" s="140" t="s">
        <v>831</v>
      </c>
      <c r="H184" s="140">
        <v>1</v>
      </c>
      <c r="I184" s="39">
        <f t="shared" si="45"/>
        <v>6310</v>
      </c>
      <c r="N184" s="183">
        <f t="shared" ca="1" si="42"/>
        <v>46204.530793402781</v>
      </c>
      <c r="O184" s="40">
        <f t="shared" ca="1" si="43"/>
        <v>7.3397260273972602</v>
      </c>
      <c r="P184" s="39">
        <f t="shared" ca="1" si="44"/>
        <v>46313.67123287671</v>
      </c>
    </row>
    <row r="185" spans="1:16" x14ac:dyDescent="0.25">
      <c r="A185" t="s">
        <v>1261</v>
      </c>
      <c r="B185" t="s">
        <v>730</v>
      </c>
      <c r="C185" s="96">
        <v>39873</v>
      </c>
      <c r="D185">
        <v>8190</v>
      </c>
      <c r="F185" t="s">
        <v>445</v>
      </c>
      <c r="G185" t="s">
        <v>831</v>
      </c>
      <c r="H185">
        <v>1</v>
      </c>
      <c r="I185" s="39">
        <f t="shared" si="45"/>
        <v>8190</v>
      </c>
      <c r="N185" s="183">
        <f t="shared" ca="1" si="42"/>
        <v>46204.530793402781</v>
      </c>
      <c r="O185" s="40">
        <f t="shared" ca="1" si="43"/>
        <v>17.345205479452055</v>
      </c>
      <c r="P185" s="39">
        <f t="shared" ca="1" si="44"/>
        <v>142057.23287671234</v>
      </c>
    </row>
    <row r="186" spans="1:16" x14ac:dyDescent="0.25">
      <c r="A186" t="s">
        <v>1262</v>
      </c>
      <c r="B186" t="s">
        <v>731</v>
      </c>
      <c r="C186" s="96">
        <v>39995</v>
      </c>
      <c r="D186">
        <v>15500</v>
      </c>
      <c r="F186" t="s">
        <v>445</v>
      </c>
      <c r="G186" t="s">
        <v>831</v>
      </c>
      <c r="H186">
        <v>1</v>
      </c>
      <c r="I186" s="39">
        <f t="shared" si="45"/>
        <v>15500</v>
      </c>
      <c r="N186" s="183">
        <f t="shared" ca="1" si="42"/>
        <v>46204.530793402781</v>
      </c>
      <c r="O186" s="40">
        <f t="shared" ca="1" si="43"/>
        <v>17.010958904109589</v>
      </c>
      <c r="P186" s="39">
        <f t="shared" ca="1" si="44"/>
        <v>263669.86301369866</v>
      </c>
    </row>
    <row r="187" spans="1:16" x14ac:dyDescent="0.25">
      <c r="A187" s="141" t="s">
        <v>1263</v>
      </c>
      <c r="B187" s="141" t="s">
        <v>985</v>
      </c>
      <c r="C187" s="142">
        <v>39417</v>
      </c>
      <c r="D187" s="143">
        <v>273285.63</v>
      </c>
      <c r="E187" s="140"/>
      <c r="F187" t="s">
        <v>445</v>
      </c>
      <c r="G187" s="140" t="s">
        <v>831</v>
      </c>
      <c r="H187" s="140">
        <v>1</v>
      </c>
      <c r="I187" s="39">
        <f t="shared" si="45"/>
        <v>273285.63</v>
      </c>
      <c r="N187" s="183">
        <f t="shared" ca="1" si="42"/>
        <v>46204.530793402781</v>
      </c>
      <c r="O187" s="40">
        <f t="shared" ca="1" si="43"/>
        <v>18.594520547945205</v>
      </c>
      <c r="P187" s="39">
        <f t="shared" ca="1" si="44"/>
        <v>5081615.2624931503</v>
      </c>
    </row>
    <row r="191" spans="1:16" x14ac:dyDescent="0.25">
      <c r="A191" t="s">
        <v>1264</v>
      </c>
      <c r="B191" t="s">
        <v>986</v>
      </c>
      <c r="C191" s="96">
        <v>39508</v>
      </c>
      <c r="D191">
        <v>83944.4</v>
      </c>
      <c r="F191" t="s">
        <v>442</v>
      </c>
      <c r="H191">
        <v>0.25</v>
      </c>
      <c r="I191" s="39">
        <f>+D191*H191</f>
        <v>20986.1</v>
      </c>
      <c r="N191" s="183">
        <f t="shared" ref="N191:N194" ca="1" si="47">NOW()</f>
        <v>46204.530793402781</v>
      </c>
      <c r="O191" s="40">
        <f t="shared" ref="O191" ca="1" si="48">_xlfn.DAYS(N191,C191)/365</f>
        <v>18.345205479452055</v>
      </c>
      <c r="P191" s="39">
        <f t="shared" ref="P191:P194" ca="1" si="49">+O191*I191</f>
        <v>384994.31671232876</v>
      </c>
    </row>
    <row r="192" spans="1:16" x14ac:dyDescent="0.25">
      <c r="F192" t="s">
        <v>443</v>
      </c>
      <c r="H192">
        <v>0.25</v>
      </c>
      <c r="I192" s="39">
        <f>+$D$191*H192</f>
        <v>20986.1</v>
      </c>
      <c r="N192" s="183">
        <f t="shared" ca="1" si="47"/>
        <v>46204.530793402781</v>
      </c>
      <c r="O192" s="40">
        <f ca="1">+O191</f>
        <v>18.345205479452055</v>
      </c>
      <c r="P192" s="39">
        <f t="shared" ca="1" si="49"/>
        <v>384994.31671232876</v>
      </c>
    </row>
    <row r="193" spans="1:19" x14ac:dyDescent="0.25">
      <c r="F193" t="s">
        <v>444</v>
      </c>
      <c r="H193">
        <v>0.25</v>
      </c>
      <c r="I193" s="39">
        <f t="shared" ref="I193:I194" si="50">+$D$191*H193</f>
        <v>20986.1</v>
      </c>
      <c r="N193" s="183">
        <f t="shared" ca="1" si="47"/>
        <v>46204.530793402781</v>
      </c>
      <c r="O193" s="40">
        <f t="shared" ref="O193:O194" ca="1" si="51">+O192</f>
        <v>18.345205479452055</v>
      </c>
      <c r="P193" s="39">
        <f t="shared" ca="1" si="49"/>
        <v>384994.31671232876</v>
      </c>
    </row>
    <row r="194" spans="1:19" x14ac:dyDescent="0.25">
      <c r="F194" t="s">
        <v>445</v>
      </c>
      <c r="H194">
        <v>0.25</v>
      </c>
      <c r="I194" s="39">
        <f t="shared" si="50"/>
        <v>20986.1</v>
      </c>
      <c r="N194" s="183">
        <f t="shared" ca="1" si="47"/>
        <v>46204.530793402781</v>
      </c>
      <c r="O194" s="40">
        <f t="shared" ca="1" si="51"/>
        <v>18.345205479452055</v>
      </c>
      <c r="P194" s="39">
        <f t="shared" ca="1" si="49"/>
        <v>384994.31671232876</v>
      </c>
    </row>
    <row r="195" spans="1:19" x14ac:dyDescent="0.25">
      <c r="C195" s="155" t="s">
        <v>473</v>
      </c>
      <c r="D195" s="58"/>
      <c r="E195" s="58"/>
      <c r="F195" s="58"/>
      <c r="G195" s="58"/>
      <c r="H195" s="58"/>
      <c r="I195" s="59">
        <f>SUM(I138:I194)</f>
        <v>3864278.7000000007</v>
      </c>
      <c r="J195" s="39"/>
      <c r="K195" s="39">
        <f>+I195</f>
        <v>3864278.7000000007</v>
      </c>
      <c r="Q195" s="39">
        <v>2</v>
      </c>
      <c r="R195" s="39">
        <f ca="1">SUM(P138:P194)*Q195</f>
        <v>132294264.16147941</v>
      </c>
      <c r="S195" s="3">
        <f ca="1">+R195/$R$338</f>
        <v>0.24659174962830618</v>
      </c>
    </row>
    <row r="196" spans="1:19" x14ac:dyDescent="0.25">
      <c r="A196" s="127" t="s">
        <v>847</v>
      </c>
      <c r="B196" s="58"/>
    </row>
    <row r="197" spans="1:19" x14ac:dyDescent="0.25">
      <c r="A197" t="s">
        <v>1265</v>
      </c>
      <c r="B197" t="s">
        <v>733</v>
      </c>
      <c r="C197" s="96">
        <v>38292</v>
      </c>
      <c r="D197">
        <v>6730</v>
      </c>
      <c r="F197" t="s">
        <v>414</v>
      </c>
      <c r="G197" t="s">
        <v>831</v>
      </c>
      <c r="H197">
        <v>1</v>
      </c>
      <c r="I197" s="39">
        <f t="shared" ref="I197:I225" si="52">+D197*H197</f>
        <v>6730</v>
      </c>
      <c r="N197" s="183">
        <f t="shared" ref="N197:N226" ca="1" si="53">NOW()</f>
        <v>46204.530793402781</v>
      </c>
      <c r="O197" s="40">
        <f t="shared" ref="O197:O226" ca="1" si="54">_xlfn.DAYS(N197,C197)/365</f>
        <v>21.676712328767124</v>
      </c>
      <c r="P197" s="39">
        <f t="shared" ref="P197:P226" ca="1" si="55">+O197*I197</f>
        <v>145884.27397260274</v>
      </c>
    </row>
    <row r="198" spans="1:19" x14ac:dyDescent="0.25">
      <c r="A198" t="s">
        <v>1266</v>
      </c>
      <c r="B198" t="s">
        <v>768</v>
      </c>
      <c r="C198" s="96">
        <v>39692</v>
      </c>
      <c r="D198">
        <v>7800</v>
      </c>
      <c r="F198" t="s">
        <v>414</v>
      </c>
      <c r="G198" t="s">
        <v>831</v>
      </c>
      <c r="H198">
        <v>1</v>
      </c>
      <c r="I198" s="39">
        <f>+D198*H198</f>
        <v>7800</v>
      </c>
      <c r="N198" s="183">
        <f t="shared" ca="1" si="53"/>
        <v>46204.530793402781</v>
      </c>
      <c r="O198" s="40">
        <f t="shared" ca="1" si="54"/>
        <v>17.841095890410958</v>
      </c>
      <c r="P198" s="39">
        <f t="shared" ca="1" si="55"/>
        <v>139160.54794520547</v>
      </c>
    </row>
    <row r="199" spans="1:19" x14ac:dyDescent="0.25">
      <c r="A199" t="s">
        <v>1267</v>
      </c>
      <c r="B199" t="s">
        <v>734</v>
      </c>
      <c r="C199" s="96">
        <v>38292</v>
      </c>
      <c r="D199">
        <v>3035</v>
      </c>
      <c r="F199" t="s">
        <v>414</v>
      </c>
      <c r="G199" t="s">
        <v>831</v>
      </c>
      <c r="H199">
        <v>1</v>
      </c>
      <c r="I199" s="39">
        <f t="shared" si="52"/>
        <v>3035</v>
      </c>
      <c r="N199" s="183">
        <f t="shared" ca="1" si="53"/>
        <v>46204.530793402781</v>
      </c>
      <c r="O199" s="40">
        <f t="shared" ca="1" si="54"/>
        <v>21.676712328767124</v>
      </c>
      <c r="P199" s="39">
        <f t="shared" ca="1" si="55"/>
        <v>65788.821917808222</v>
      </c>
    </row>
    <row r="200" spans="1:19" x14ac:dyDescent="0.25">
      <c r="A200" t="s">
        <v>1268</v>
      </c>
      <c r="B200" t="s">
        <v>743</v>
      </c>
      <c r="C200" s="96">
        <v>38718</v>
      </c>
      <c r="D200">
        <v>1200</v>
      </c>
      <c r="F200" t="s">
        <v>414</v>
      </c>
      <c r="G200" t="s">
        <v>831</v>
      </c>
      <c r="H200">
        <v>1</v>
      </c>
      <c r="I200" s="39">
        <f t="shared" si="52"/>
        <v>1200</v>
      </c>
      <c r="N200" s="183">
        <f t="shared" ca="1" si="53"/>
        <v>46204.530793402781</v>
      </c>
      <c r="O200" s="40">
        <f t="shared" ca="1" si="54"/>
        <v>20.509589041095889</v>
      </c>
      <c r="P200" s="39">
        <f t="shared" ca="1" si="55"/>
        <v>24611.506849315068</v>
      </c>
    </row>
    <row r="201" spans="1:19" x14ac:dyDescent="0.25">
      <c r="A201" t="s">
        <v>1269</v>
      </c>
      <c r="B201" t="s">
        <v>753</v>
      </c>
      <c r="C201" s="96">
        <v>39387</v>
      </c>
      <c r="D201">
        <v>30000</v>
      </c>
      <c r="F201" t="s">
        <v>414</v>
      </c>
      <c r="G201" t="s">
        <v>831</v>
      </c>
      <c r="H201">
        <v>1</v>
      </c>
      <c r="I201" s="39">
        <f t="shared" si="52"/>
        <v>30000</v>
      </c>
      <c r="N201" s="183">
        <f t="shared" ca="1" si="53"/>
        <v>46204.530793402781</v>
      </c>
      <c r="O201" s="40">
        <f t="shared" ca="1" si="54"/>
        <v>18.676712328767124</v>
      </c>
      <c r="P201" s="39">
        <f t="shared" ca="1" si="55"/>
        <v>560301.36986301374</v>
      </c>
    </row>
    <row r="202" spans="1:19" x14ac:dyDescent="0.25">
      <c r="A202" t="s">
        <v>1270</v>
      </c>
      <c r="B202" t="s">
        <v>758</v>
      </c>
      <c r="C202" s="96">
        <v>39508</v>
      </c>
      <c r="D202">
        <v>15398.1</v>
      </c>
      <c r="F202" t="s">
        <v>414</v>
      </c>
      <c r="G202" t="s">
        <v>831</v>
      </c>
      <c r="H202">
        <v>1</v>
      </c>
      <c r="I202" s="39">
        <f t="shared" si="52"/>
        <v>15398.1</v>
      </c>
      <c r="N202" s="183">
        <f t="shared" ca="1" si="53"/>
        <v>46204.530793402781</v>
      </c>
      <c r="O202" s="40">
        <f t="shared" ca="1" si="54"/>
        <v>18.345205479452055</v>
      </c>
      <c r="P202" s="39">
        <f t="shared" ca="1" si="55"/>
        <v>282481.30849315069</v>
      </c>
    </row>
    <row r="203" spans="1:19" ht="19.5" customHeight="1" x14ac:dyDescent="0.25">
      <c r="A203" t="s">
        <v>1271</v>
      </c>
      <c r="B203" t="s">
        <v>776</v>
      </c>
      <c r="C203" s="96">
        <v>40269</v>
      </c>
      <c r="D203">
        <v>26250</v>
      </c>
      <c r="F203" t="s">
        <v>414</v>
      </c>
      <c r="G203" t="s">
        <v>831</v>
      </c>
      <c r="H203">
        <v>1</v>
      </c>
      <c r="I203" s="39">
        <f>+D203*H203</f>
        <v>26250</v>
      </c>
      <c r="N203" s="183">
        <f t="shared" ca="1" si="53"/>
        <v>46204.530793402781</v>
      </c>
      <c r="O203" s="40">
        <f t="shared" ca="1" si="54"/>
        <v>16.260273972602739</v>
      </c>
      <c r="P203" s="39">
        <f t="shared" ca="1" si="55"/>
        <v>426832.19178082189</v>
      </c>
    </row>
    <row r="204" spans="1:19" x14ac:dyDescent="0.25">
      <c r="A204" t="s">
        <v>1272</v>
      </c>
      <c r="B204" t="s">
        <v>777</v>
      </c>
      <c r="C204" s="96">
        <v>40575</v>
      </c>
      <c r="D204">
        <v>17000</v>
      </c>
      <c r="F204" t="s">
        <v>414</v>
      </c>
      <c r="G204" t="s">
        <v>831</v>
      </c>
      <c r="H204">
        <v>1</v>
      </c>
      <c r="I204" s="39">
        <f>+D204*H204</f>
        <v>17000</v>
      </c>
      <c r="N204" s="183">
        <f t="shared" ca="1" si="53"/>
        <v>46204.530793402781</v>
      </c>
      <c r="O204" s="40">
        <f t="shared" ca="1" si="54"/>
        <v>15.421917808219177</v>
      </c>
      <c r="P204" s="39">
        <f t="shared" ca="1" si="55"/>
        <v>262172.60273972602</v>
      </c>
    </row>
    <row r="205" spans="1:19" x14ac:dyDescent="0.25">
      <c r="A205" t="s">
        <v>1273</v>
      </c>
      <c r="B205" t="s">
        <v>778</v>
      </c>
      <c r="C205" s="96">
        <v>40664</v>
      </c>
      <c r="D205">
        <v>3400</v>
      </c>
      <c r="F205" t="s">
        <v>414</v>
      </c>
      <c r="G205" t="s">
        <v>831</v>
      </c>
      <c r="H205">
        <v>1</v>
      </c>
      <c r="I205" s="39">
        <f>+D205*H205</f>
        <v>3400</v>
      </c>
      <c r="N205" s="183">
        <f t="shared" ca="1" si="53"/>
        <v>46204.530793402781</v>
      </c>
      <c r="O205" s="40">
        <f t="shared" ca="1" si="54"/>
        <v>15.178082191780822</v>
      </c>
      <c r="P205" s="39">
        <f t="shared" ca="1" si="55"/>
        <v>51605.479452054795</v>
      </c>
    </row>
    <row r="206" spans="1:19" x14ac:dyDescent="0.25">
      <c r="A206" t="s">
        <v>1274</v>
      </c>
      <c r="B206" t="s">
        <v>759</v>
      </c>
      <c r="C206" s="96">
        <v>39539</v>
      </c>
      <c r="D206">
        <v>2754</v>
      </c>
      <c r="F206" t="s">
        <v>414</v>
      </c>
      <c r="G206" t="s">
        <v>831</v>
      </c>
      <c r="H206">
        <v>1</v>
      </c>
      <c r="I206" s="39">
        <f t="shared" si="52"/>
        <v>2754</v>
      </c>
      <c r="N206" s="183">
        <f t="shared" ca="1" si="53"/>
        <v>46204.530793402781</v>
      </c>
      <c r="O206" s="40">
        <f t="shared" ca="1" si="54"/>
        <v>18.260273972602739</v>
      </c>
      <c r="P206" s="39">
        <f t="shared" ca="1" si="55"/>
        <v>50288.794520547941</v>
      </c>
    </row>
    <row r="207" spans="1:19" x14ac:dyDescent="0.25">
      <c r="A207" t="s">
        <v>1275</v>
      </c>
      <c r="B207" t="s">
        <v>760</v>
      </c>
      <c r="C207" s="96">
        <v>39539</v>
      </c>
      <c r="D207">
        <v>5000</v>
      </c>
      <c r="F207" t="s">
        <v>414</v>
      </c>
      <c r="G207" t="s">
        <v>831</v>
      </c>
      <c r="H207">
        <v>1</v>
      </c>
      <c r="I207" s="39">
        <f t="shared" si="52"/>
        <v>5000</v>
      </c>
      <c r="N207" s="183">
        <f t="shared" ca="1" si="53"/>
        <v>46204.530793402781</v>
      </c>
      <c r="O207" s="40">
        <f t="shared" ca="1" si="54"/>
        <v>18.260273972602739</v>
      </c>
      <c r="P207" s="39">
        <f t="shared" ca="1" si="55"/>
        <v>91301.369863013693</v>
      </c>
    </row>
    <row r="208" spans="1:19" x14ac:dyDescent="0.25">
      <c r="A208" t="s">
        <v>1276</v>
      </c>
      <c r="B208" t="s">
        <v>761</v>
      </c>
      <c r="C208" s="96">
        <v>39569</v>
      </c>
      <c r="D208">
        <v>45000</v>
      </c>
      <c r="F208" t="s">
        <v>414</v>
      </c>
      <c r="G208" t="s">
        <v>831</v>
      </c>
      <c r="H208">
        <v>1</v>
      </c>
      <c r="I208" s="39">
        <f t="shared" si="52"/>
        <v>45000</v>
      </c>
      <c r="N208" s="183">
        <f t="shared" ca="1" si="53"/>
        <v>46204.530793402781</v>
      </c>
      <c r="O208" s="40">
        <f t="shared" ca="1" si="54"/>
        <v>18.17808219178082</v>
      </c>
      <c r="P208" s="39">
        <f t="shared" ca="1" si="55"/>
        <v>818013.6986301369</v>
      </c>
    </row>
    <row r="209" spans="1:16" x14ac:dyDescent="0.25">
      <c r="A209" t="s">
        <v>1277</v>
      </c>
      <c r="B209" t="s">
        <v>763</v>
      </c>
      <c r="C209" s="96">
        <v>39600</v>
      </c>
      <c r="D209">
        <v>2250</v>
      </c>
      <c r="F209" t="s">
        <v>414</v>
      </c>
      <c r="G209" t="s">
        <v>831</v>
      </c>
      <c r="H209">
        <v>1</v>
      </c>
      <c r="I209" s="39">
        <f t="shared" si="52"/>
        <v>2250</v>
      </c>
      <c r="N209" s="183">
        <f t="shared" ca="1" si="53"/>
        <v>46204.530793402781</v>
      </c>
      <c r="O209" s="40">
        <f t="shared" ca="1" si="54"/>
        <v>18.093150684931508</v>
      </c>
      <c r="P209" s="39">
        <f t="shared" ca="1" si="55"/>
        <v>40709.589041095896</v>
      </c>
    </row>
    <row r="210" spans="1:16" x14ac:dyDescent="0.25">
      <c r="A210" t="s">
        <v>1278</v>
      </c>
      <c r="B210" t="s">
        <v>766</v>
      </c>
      <c r="C210" s="96">
        <v>39661</v>
      </c>
      <c r="D210">
        <v>9760</v>
      </c>
      <c r="F210" t="s">
        <v>414</v>
      </c>
      <c r="G210" t="s">
        <v>831</v>
      </c>
      <c r="H210">
        <v>1</v>
      </c>
      <c r="I210" s="39">
        <f t="shared" si="52"/>
        <v>9760</v>
      </c>
      <c r="N210" s="183">
        <f t="shared" ca="1" si="53"/>
        <v>46204.530793402781</v>
      </c>
      <c r="O210" s="40">
        <f t="shared" ca="1" si="54"/>
        <v>17.926027397260274</v>
      </c>
      <c r="P210" s="39">
        <f t="shared" ca="1" si="55"/>
        <v>174958.02739726027</v>
      </c>
    </row>
    <row r="211" spans="1:16" x14ac:dyDescent="0.25">
      <c r="A211" t="s">
        <v>1279</v>
      </c>
      <c r="B211" t="s">
        <v>780</v>
      </c>
      <c r="C211" s="96">
        <v>41153</v>
      </c>
      <c r="D211">
        <v>82200</v>
      </c>
      <c r="F211" t="s">
        <v>414</v>
      </c>
      <c r="G211" t="s">
        <v>831</v>
      </c>
      <c r="H211">
        <v>1</v>
      </c>
      <c r="I211" s="39">
        <f t="shared" si="52"/>
        <v>82200</v>
      </c>
      <c r="N211" s="183">
        <f t="shared" ca="1" si="53"/>
        <v>46204.530793402781</v>
      </c>
      <c r="O211" s="40">
        <f t="shared" ca="1" si="54"/>
        <v>13.838356164383562</v>
      </c>
      <c r="P211" s="39">
        <f t="shared" ca="1" si="55"/>
        <v>1137512.8767123288</v>
      </c>
    </row>
    <row r="212" spans="1:16" x14ac:dyDescent="0.25">
      <c r="A212" t="s">
        <v>1280</v>
      </c>
      <c r="B212" t="s">
        <v>781</v>
      </c>
      <c r="C212" s="96">
        <v>41275</v>
      </c>
      <c r="D212">
        <v>82500</v>
      </c>
      <c r="F212" t="s">
        <v>414</v>
      </c>
      <c r="G212" t="s">
        <v>831</v>
      </c>
      <c r="H212">
        <v>1</v>
      </c>
      <c r="I212" s="39">
        <f t="shared" si="52"/>
        <v>82500</v>
      </c>
      <c r="N212" s="183">
        <f t="shared" ca="1" si="53"/>
        <v>46204.530793402781</v>
      </c>
      <c r="O212" s="40">
        <f t="shared" ca="1" si="54"/>
        <v>13.504109589041096</v>
      </c>
      <c r="P212" s="39">
        <f t="shared" ca="1" si="55"/>
        <v>1114089.0410958906</v>
      </c>
    </row>
    <row r="213" spans="1:16" x14ac:dyDescent="0.25">
      <c r="A213" t="s">
        <v>1281</v>
      </c>
      <c r="B213" t="s">
        <v>784</v>
      </c>
      <c r="C213" s="96">
        <v>41791</v>
      </c>
      <c r="D213">
        <v>29145</v>
      </c>
      <c r="F213" t="s">
        <v>414</v>
      </c>
      <c r="G213" t="s">
        <v>831</v>
      </c>
      <c r="H213">
        <v>1</v>
      </c>
      <c r="I213" s="39">
        <f t="shared" si="52"/>
        <v>29145</v>
      </c>
      <c r="N213" s="183">
        <f t="shared" ca="1" si="53"/>
        <v>46204.530793402781</v>
      </c>
      <c r="O213" s="40">
        <f t="shared" ca="1" si="54"/>
        <v>12.09041095890411</v>
      </c>
      <c r="P213" s="39">
        <f t="shared" ca="1" si="55"/>
        <v>352375.0273972603</v>
      </c>
    </row>
    <row r="214" spans="1:16" x14ac:dyDescent="0.25">
      <c r="A214" t="s">
        <v>1282</v>
      </c>
      <c r="B214" t="s">
        <v>785</v>
      </c>
      <c r="C214" s="96">
        <v>41883</v>
      </c>
      <c r="D214">
        <v>12500</v>
      </c>
      <c r="F214" t="s">
        <v>414</v>
      </c>
      <c r="G214" t="s">
        <v>831</v>
      </c>
      <c r="H214">
        <v>1</v>
      </c>
      <c r="I214" s="39">
        <f t="shared" si="52"/>
        <v>12500</v>
      </c>
      <c r="N214" s="183">
        <f t="shared" ca="1" si="53"/>
        <v>46204.530793402781</v>
      </c>
      <c r="O214" s="40">
        <f t="shared" ca="1" si="54"/>
        <v>11.838356164383562</v>
      </c>
      <c r="P214" s="39">
        <f t="shared" ca="1" si="55"/>
        <v>147979.45205479453</v>
      </c>
    </row>
    <row r="215" spans="1:16" x14ac:dyDescent="0.25">
      <c r="A215" t="s">
        <v>1283</v>
      </c>
      <c r="B215" t="s">
        <v>786</v>
      </c>
      <c r="C215" s="96">
        <v>41913</v>
      </c>
      <c r="D215">
        <v>149900</v>
      </c>
      <c r="F215" t="s">
        <v>414</v>
      </c>
      <c r="G215" t="s">
        <v>831</v>
      </c>
      <c r="H215">
        <v>1</v>
      </c>
      <c r="I215" s="39">
        <f t="shared" si="52"/>
        <v>149900</v>
      </c>
      <c r="N215" s="183">
        <f t="shared" ca="1" si="53"/>
        <v>46204.530793402781</v>
      </c>
      <c r="O215" s="40">
        <f t="shared" ca="1" si="54"/>
        <v>11.756164383561643</v>
      </c>
      <c r="P215" s="39">
        <f t="shared" ca="1" si="55"/>
        <v>1762249.0410958903</v>
      </c>
    </row>
    <row r="216" spans="1:16" x14ac:dyDescent="0.25">
      <c r="A216" t="s">
        <v>1284</v>
      </c>
      <c r="B216" t="s">
        <v>787</v>
      </c>
      <c r="C216" s="96">
        <v>42278</v>
      </c>
      <c r="D216">
        <v>148135</v>
      </c>
      <c r="F216" t="s">
        <v>414</v>
      </c>
      <c r="G216" t="s">
        <v>831</v>
      </c>
      <c r="H216">
        <v>1</v>
      </c>
      <c r="I216" s="39">
        <f t="shared" si="52"/>
        <v>148135</v>
      </c>
      <c r="N216" s="183">
        <f t="shared" ca="1" si="53"/>
        <v>46204.530793402781</v>
      </c>
      <c r="O216" s="40">
        <f t="shared" ca="1" si="54"/>
        <v>10.756164383561643</v>
      </c>
      <c r="P216" s="39">
        <f t="shared" ca="1" si="55"/>
        <v>1593364.4109589041</v>
      </c>
    </row>
    <row r="217" spans="1:16" x14ac:dyDescent="0.25">
      <c r="A217" t="s">
        <v>1285</v>
      </c>
      <c r="B217" t="s">
        <v>788</v>
      </c>
      <c r="C217" s="96">
        <v>42522</v>
      </c>
      <c r="D217">
        <v>15900</v>
      </c>
      <c r="F217" t="s">
        <v>414</v>
      </c>
      <c r="G217" t="s">
        <v>831</v>
      </c>
      <c r="H217">
        <v>1</v>
      </c>
      <c r="I217" s="39">
        <f t="shared" si="52"/>
        <v>15900</v>
      </c>
      <c r="N217" s="183">
        <f t="shared" ca="1" si="53"/>
        <v>46204.530793402781</v>
      </c>
      <c r="O217" s="40">
        <f t="shared" ca="1" si="54"/>
        <v>10.087671232876712</v>
      </c>
      <c r="P217" s="39">
        <f t="shared" ca="1" si="55"/>
        <v>160393.97260273973</v>
      </c>
    </row>
    <row r="218" spans="1:16" x14ac:dyDescent="0.25">
      <c r="A218" t="s">
        <v>1286</v>
      </c>
      <c r="B218" t="s">
        <v>789</v>
      </c>
      <c r="C218" s="96">
        <v>42705</v>
      </c>
      <c r="D218">
        <v>104730.54</v>
      </c>
      <c r="F218" t="s">
        <v>414</v>
      </c>
      <c r="G218" t="s">
        <v>831</v>
      </c>
      <c r="H218">
        <v>1</v>
      </c>
      <c r="I218" s="39">
        <f t="shared" si="52"/>
        <v>104730.54</v>
      </c>
      <c r="N218" s="183">
        <f t="shared" ca="1" si="53"/>
        <v>46204.530793402781</v>
      </c>
      <c r="O218" s="40">
        <f t="shared" ca="1" si="54"/>
        <v>9.5863013698630137</v>
      </c>
      <c r="P218" s="39">
        <f t="shared" ca="1" si="55"/>
        <v>1003978.519068493</v>
      </c>
    </row>
    <row r="219" spans="1:16" x14ac:dyDescent="0.25">
      <c r="A219" t="s">
        <v>1287</v>
      </c>
      <c r="B219" t="s">
        <v>973</v>
      </c>
      <c r="C219" s="96">
        <v>43009</v>
      </c>
      <c r="D219">
        <v>44851.08</v>
      </c>
      <c r="F219" t="s">
        <v>974</v>
      </c>
      <c r="G219" t="s">
        <v>831</v>
      </c>
      <c r="H219">
        <v>1</v>
      </c>
      <c r="I219" s="39">
        <f t="shared" si="52"/>
        <v>44851.08</v>
      </c>
      <c r="N219" s="183">
        <f t="shared" ca="1" si="53"/>
        <v>46204.530793402781</v>
      </c>
      <c r="O219" s="40">
        <f t="shared" ca="1" si="54"/>
        <v>8.7534246575342465</v>
      </c>
      <c r="P219" s="39">
        <f t="shared" ca="1" si="55"/>
        <v>392600.5495890411</v>
      </c>
    </row>
    <row r="220" spans="1:16" x14ac:dyDescent="0.25">
      <c r="A220" t="s">
        <v>1288</v>
      </c>
      <c r="B220" t="s">
        <v>961</v>
      </c>
      <c r="C220" s="96">
        <v>43556</v>
      </c>
      <c r="D220">
        <v>6080</v>
      </c>
      <c r="F220" t="s">
        <v>414</v>
      </c>
      <c r="G220" t="s">
        <v>831</v>
      </c>
      <c r="H220">
        <v>1</v>
      </c>
      <c r="I220" s="39">
        <f t="shared" si="52"/>
        <v>6080</v>
      </c>
      <c r="N220" s="183">
        <f t="shared" ca="1" si="53"/>
        <v>46204.530793402781</v>
      </c>
      <c r="O220" s="40">
        <f t="shared" ca="1" si="54"/>
        <v>7.2547945205479456</v>
      </c>
      <c r="P220" s="39">
        <f t="shared" ca="1" si="55"/>
        <v>44109.150684931512</v>
      </c>
    </row>
    <row r="221" spans="1:16" x14ac:dyDescent="0.25">
      <c r="A221" s="123" t="s">
        <v>1289</v>
      </c>
      <c r="B221" s="123" t="s">
        <v>956</v>
      </c>
      <c r="C221" s="124">
        <v>43770</v>
      </c>
      <c r="D221" s="152">
        <v>15327.63</v>
      </c>
      <c r="F221" t="s">
        <v>414</v>
      </c>
      <c r="G221" t="s">
        <v>831</v>
      </c>
      <c r="H221">
        <v>1</v>
      </c>
      <c r="I221" s="39">
        <f t="shared" si="52"/>
        <v>15327.63</v>
      </c>
      <c r="N221" s="183">
        <f t="shared" ca="1" si="53"/>
        <v>46204.530793402781</v>
      </c>
      <c r="O221" s="40">
        <f t="shared" ca="1" si="54"/>
        <v>6.6684931506849319</v>
      </c>
      <c r="P221" s="39">
        <f t="shared" ca="1" si="55"/>
        <v>102212.19567123288</v>
      </c>
    </row>
    <row r="222" spans="1:16" x14ac:dyDescent="0.25">
      <c r="A222" s="123" t="s">
        <v>1290</v>
      </c>
      <c r="B222" s="123" t="s">
        <v>957</v>
      </c>
      <c r="C222" s="124">
        <v>43770</v>
      </c>
      <c r="D222" s="152">
        <v>31461.98</v>
      </c>
      <c r="F222" t="s">
        <v>958</v>
      </c>
      <c r="G222" t="s">
        <v>831</v>
      </c>
      <c r="H222">
        <v>1</v>
      </c>
      <c r="I222" s="39">
        <f t="shared" si="52"/>
        <v>31461.98</v>
      </c>
      <c r="N222" s="183">
        <f t="shared" ca="1" si="53"/>
        <v>46204.530793402781</v>
      </c>
      <c r="O222" s="40">
        <f t="shared" ca="1" si="54"/>
        <v>6.6684931506849319</v>
      </c>
      <c r="P222" s="39">
        <f t="shared" ca="1" si="55"/>
        <v>209803.99813698631</v>
      </c>
    </row>
    <row r="223" spans="1:16" x14ac:dyDescent="0.25">
      <c r="A223" s="123" t="s">
        <v>1436</v>
      </c>
      <c r="B223" s="123" t="s">
        <v>1437</v>
      </c>
      <c r="C223" s="124">
        <v>44652</v>
      </c>
      <c r="D223" s="125">
        <v>15180</v>
      </c>
      <c r="F223" t="s">
        <v>414</v>
      </c>
      <c r="G223" t="s">
        <v>831</v>
      </c>
      <c r="H223">
        <v>1</v>
      </c>
      <c r="I223" s="39">
        <f t="shared" si="52"/>
        <v>15180</v>
      </c>
      <c r="N223" s="183">
        <f t="shared" ca="1" si="53"/>
        <v>46204.530793402781</v>
      </c>
      <c r="O223" s="40">
        <f t="shared" ref="O223:O225" ca="1" si="56">_xlfn.DAYS(N223,C223)/365</f>
        <v>4.2520547945205482</v>
      </c>
      <c r="P223" s="39">
        <f t="shared" ref="P223:P225" ca="1" si="57">+O223*I223</f>
        <v>64546.191780821922</v>
      </c>
    </row>
    <row r="224" spans="1:16" x14ac:dyDescent="0.25">
      <c r="A224" s="123" t="s">
        <v>1442</v>
      </c>
      <c r="B224" s="123" t="s">
        <v>1443</v>
      </c>
      <c r="C224" s="124">
        <v>45383</v>
      </c>
      <c r="D224" s="125">
        <v>128000</v>
      </c>
      <c r="F224" t="s">
        <v>414</v>
      </c>
      <c r="G224" t="s">
        <v>831</v>
      </c>
      <c r="H224">
        <v>1</v>
      </c>
      <c r="I224" s="39">
        <f t="shared" si="52"/>
        <v>128000</v>
      </c>
      <c r="N224" s="183">
        <f t="shared" ca="1" si="53"/>
        <v>46204.530793402781</v>
      </c>
      <c r="O224" s="40">
        <f t="shared" ca="1" si="56"/>
        <v>2.2493150684931509</v>
      </c>
      <c r="P224" s="39">
        <f t="shared" ca="1" si="57"/>
        <v>287912.32876712334</v>
      </c>
    </row>
    <row r="225" spans="1:19" x14ac:dyDescent="0.25">
      <c r="A225" s="123" t="s">
        <v>1438</v>
      </c>
      <c r="B225" s="123" t="s">
        <v>1439</v>
      </c>
      <c r="C225" s="124">
        <v>45078</v>
      </c>
      <c r="D225" s="125">
        <v>19300</v>
      </c>
      <c r="F225" t="s">
        <v>414</v>
      </c>
      <c r="G225" t="s">
        <v>831</v>
      </c>
      <c r="H225">
        <v>1</v>
      </c>
      <c r="I225" s="39">
        <f t="shared" si="52"/>
        <v>19300</v>
      </c>
      <c r="N225" s="183">
        <f t="shared" ca="1" si="53"/>
        <v>46204.530793402781</v>
      </c>
      <c r="O225" s="40">
        <f t="shared" ca="1" si="56"/>
        <v>3.0849315068493151</v>
      </c>
      <c r="P225" s="39">
        <f t="shared" ca="1" si="57"/>
        <v>59539.178082191778</v>
      </c>
    </row>
    <row r="226" spans="1:19" x14ac:dyDescent="0.25">
      <c r="A226" s="123" t="s">
        <v>1444</v>
      </c>
      <c r="B226" s="123" t="s">
        <v>1445</v>
      </c>
      <c r="C226" s="124">
        <v>45383</v>
      </c>
      <c r="D226" s="125">
        <v>88000</v>
      </c>
      <c r="F226" t="s">
        <v>414</v>
      </c>
      <c r="G226" t="s">
        <v>831</v>
      </c>
      <c r="H226">
        <v>1</v>
      </c>
      <c r="I226" s="39">
        <f t="shared" ref="I226" si="58">+D226*H226</f>
        <v>88000</v>
      </c>
      <c r="N226" s="183">
        <f t="shared" ca="1" si="53"/>
        <v>46204.530793402781</v>
      </c>
      <c r="O226" s="40">
        <f t="shared" ca="1" si="54"/>
        <v>2.2493150684931509</v>
      </c>
      <c r="P226" s="39">
        <f t="shared" ca="1" si="55"/>
        <v>197939.72602739726</v>
      </c>
    </row>
    <row r="227" spans="1:19" x14ac:dyDescent="0.25">
      <c r="A227" s="123"/>
      <c r="B227" s="123"/>
      <c r="C227" s="158" t="s">
        <v>476</v>
      </c>
      <c r="D227" s="156"/>
      <c r="E227" s="58"/>
      <c r="F227" s="58"/>
      <c r="G227" s="58"/>
      <c r="H227" s="58"/>
      <c r="I227" s="59">
        <f>SUM(I197:I226)</f>
        <v>1148788.33</v>
      </c>
      <c r="J227" s="39"/>
      <c r="K227" s="39">
        <f>+I227</f>
        <v>1148788.33</v>
      </c>
      <c r="Q227" s="39">
        <v>1</v>
      </c>
      <c r="R227" s="39">
        <f ca="1">SUM(P197:P226)*Q227</f>
        <v>11764715.24219178</v>
      </c>
      <c r="S227" s="3">
        <f ca="1">+R227/$R$338</f>
        <v>2.192900602183168E-2</v>
      </c>
    </row>
    <row r="228" spans="1:19" x14ac:dyDescent="0.25">
      <c r="A228" s="123"/>
      <c r="B228" s="123"/>
      <c r="C228" s="124"/>
      <c r="D228" s="125"/>
      <c r="J228" s="39"/>
    </row>
    <row r="230" spans="1:19" x14ac:dyDescent="0.25">
      <c r="A230" s="127" t="s">
        <v>58</v>
      </c>
    </row>
    <row r="231" spans="1:19" x14ac:dyDescent="0.25">
      <c r="A231" t="s">
        <v>1291</v>
      </c>
      <c r="B231" t="s">
        <v>790</v>
      </c>
      <c r="C231" s="96">
        <v>41426</v>
      </c>
      <c r="D231">
        <v>10454</v>
      </c>
      <c r="F231" t="s">
        <v>58</v>
      </c>
      <c r="G231" t="s">
        <v>58</v>
      </c>
      <c r="H231">
        <v>1</v>
      </c>
      <c r="I231" s="39">
        <f t="shared" ref="I231:I266" si="59">+D231*H231</f>
        <v>10454</v>
      </c>
      <c r="N231" s="183">
        <f t="shared" ref="N231:N270" ca="1" si="60">NOW()</f>
        <v>46204.530793402781</v>
      </c>
      <c r="O231" s="40">
        <f t="shared" ref="O231:O266" ca="1" si="61">_xlfn.DAYS(N231,C231)/365</f>
        <v>13.09041095890411</v>
      </c>
      <c r="P231" s="39">
        <f t="shared" ref="P231:P266" ca="1" si="62">+O231*I231</f>
        <v>136847.15616438357</v>
      </c>
    </row>
    <row r="232" spans="1:19" x14ac:dyDescent="0.25">
      <c r="A232" t="s">
        <v>1292</v>
      </c>
      <c r="B232" t="s">
        <v>996</v>
      </c>
      <c r="C232" s="96">
        <v>36770</v>
      </c>
      <c r="D232">
        <v>36028</v>
      </c>
      <c r="F232" t="s">
        <v>58</v>
      </c>
      <c r="G232" t="s">
        <v>58</v>
      </c>
      <c r="H232">
        <v>1</v>
      </c>
      <c r="I232" s="39">
        <f t="shared" ref="I232:I238" si="63">+D232*H232</f>
        <v>36028</v>
      </c>
      <c r="N232" s="183">
        <f t="shared" ca="1" si="60"/>
        <v>46204.530793402781</v>
      </c>
      <c r="O232" s="40">
        <f t="shared" ca="1" si="61"/>
        <v>25.846575342465755</v>
      </c>
      <c r="P232" s="39">
        <f t="shared" ca="1" si="62"/>
        <v>931200.41643835627</v>
      </c>
    </row>
    <row r="233" spans="1:19" x14ac:dyDescent="0.25">
      <c r="A233" t="s">
        <v>1293</v>
      </c>
      <c r="B233" t="s">
        <v>997</v>
      </c>
      <c r="C233" s="96">
        <v>37316</v>
      </c>
      <c r="D233">
        <v>2950</v>
      </c>
      <c r="F233" t="s">
        <v>58</v>
      </c>
      <c r="G233" t="s">
        <v>58</v>
      </c>
      <c r="H233">
        <v>1</v>
      </c>
      <c r="I233" s="39">
        <f t="shared" si="63"/>
        <v>2950</v>
      </c>
      <c r="N233" s="183">
        <f t="shared" ca="1" si="60"/>
        <v>46204.530793402781</v>
      </c>
      <c r="O233" s="40">
        <f t="shared" ca="1" si="61"/>
        <v>24.350684931506848</v>
      </c>
      <c r="P233" s="39">
        <f t="shared" ca="1" si="62"/>
        <v>71834.520547945198</v>
      </c>
    </row>
    <row r="234" spans="1:19" x14ac:dyDescent="0.25">
      <c r="A234" t="s">
        <v>1294</v>
      </c>
      <c r="B234" t="s">
        <v>998</v>
      </c>
      <c r="C234" s="96">
        <v>37987</v>
      </c>
      <c r="D234">
        <v>2927.9</v>
      </c>
      <c r="F234" t="s">
        <v>58</v>
      </c>
      <c r="G234" t="s">
        <v>58</v>
      </c>
      <c r="H234">
        <v>1</v>
      </c>
      <c r="I234" s="39">
        <f t="shared" si="63"/>
        <v>2927.9</v>
      </c>
      <c r="N234" s="183">
        <f t="shared" ca="1" si="60"/>
        <v>46204.530793402781</v>
      </c>
      <c r="O234" s="40">
        <f t="shared" ca="1" si="61"/>
        <v>22.512328767123286</v>
      </c>
      <c r="P234" s="39">
        <f t="shared" ca="1" si="62"/>
        <v>65913.847397260266</v>
      </c>
    </row>
    <row r="235" spans="1:19" x14ac:dyDescent="0.25">
      <c r="A235" t="s">
        <v>1295</v>
      </c>
      <c r="B235" t="s">
        <v>999</v>
      </c>
      <c r="C235" s="96">
        <v>38078</v>
      </c>
      <c r="D235">
        <v>8500</v>
      </c>
      <c r="F235" t="s">
        <v>58</v>
      </c>
      <c r="G235" t="s">
        <v>58</v>
      </c>
      <c r="H235">
        <v>1</v>
      </c>
      <c r="I235" s="39">
        <f t="shared" si="63"/>
        <v>8500</v>
      </c>
      <c r="N235" s="183">
        <f t="shared" ca="1" si="60"/>
        <v>46204.530793402781</v>
      </c>
      <c r="O235" s="40">
        <f t="shared" ca="1" si="61"/>
        <v>22.263013698630136</v>
      </c>
      <c r="P235" s="39">
        <f t="shared" ca="1" si="62"/>
        <v>189235.61643835614</v>
      </c>
    </row>
    <row r="236" spans="1:19" x14ac:dyDescent="0.25">
      <c r="A236" t="s">
        <v>1296</v>
      </c>
      <c r="B236" t="s">
        <v>1000</v>
      </c>
      <c r="C236" s="96">
        <v>38169</v>
      </c>
      <c r="D236">
        <v>2650.2</v>
      </c>
      <c r="F236" t="s">
        <v>58</v>
      </c>
      <c r="G236" t="s">
        <v>58</v>
      </c>
      <c r="H236">
        <v>1</v>
      </c>
      <c r="I236" s="39">
        <f t="shared" si="63"/>
        <v>2650.2</v>
      </c>
      <c r="N236" s="183">
        <f t="shared" ca="1" si="60"/>
        <v>46204.530793402781</v>
      </c>
      <c r="O236" s="40">
        <f t="shared" ca="1" si="61"/>
        <v>22.013698630136986</v>
      </c>
      <c r="P236" s="39">
        <f t="shared" ca="1" si="62"/>
        <v>58340.704109589038</v>
      </c>
    </row>
    <row r="237" spans="1:19" x14ac:dyDescent="0.25">
      <c r="A237" t="s">
        <v>1297</v>
      </c>
      <c r="B237" t="s">
        <v>793</v>
      </c>
      <c r="C237" s="96">
        <v>38200</v>
      </c>
      <c r="D237">
        <v>16875</v>
      </c>
      <c r="F237" t="s">
        <v>58</v>
      </c>
      <c r="G237" t="s">
        <v>58</v>
      </c>
      <c r="H237">
        <v>1</v>
      </c>
      <c r="I237" s="39">
        <f t="shared" si="63"/>
        <v>16875</v>
      </c>
      <c r="N237" s="183">
        <f t="shared" ca="1" si="60"/>
        <v>46204.530793402781</v>
      </c>
      <c r="O237" s="40">
        <f t="shared" ca="1" si="61"/>
        <v>21.92876712328767</v>
      </c>
      <c r="P237" s="39">
        <f t="shared" ca="1" si="62"/>
        <v>370047.94520547945</v>
      </c>
    </row>
    <row r="238" spans="1:19" x14ac:dyDescent="0.25">
      <c r="A238" t="s">
        <v>1298</v>
      </c>
      <c r="B238" t="s">
        <v>998</v>
      </c>
      <c r="C238" s="96">
        <v>38200</v>
      </c>
      <c r="D238">
        <v>1209</v>
      </c>
      <c r="F238" t="s">
        <v>58</v>
      </c>
      <c r="G238" t="s">
        <v>58</v>
      </c>
      <c r="H238">
        <v>1</v>
      </c>
      <c r="I238" s="39">
        <f t="shared" si="63"/>
        <v>1209</v>
      </c>
      <c r="N238" s="183">
        <f t="shared" ca="1" si="60"/>
        <v>46204.530793402781</v>
      </c>
      <c r="O238" s="40">
        <f t="shared" ca="1" si="61"/>
        <v>21.92876712328767</v>
      </c>
      <c r="P238" s="39">
        <f t="shared" ca="1" si="62"/>
        <v>26511.879452054793</v>
      </c>
    </row>
    <row r="239" spans="1:19" x14ac:dyDescent="0.25">
      <c r="A239" t="s">
        <v>1299</v>
      </c>
      <c r="B239" t="s">
        <v>791</v>
      </c>
      <c r="C239" s="96">
        <v>41456</v>
      </c>
      <c r="D239">
        <v>44245</v>
      </c>
      <c r="F239" t="s">
        <v>58</v>
      </c>
      <c r="G239" t="s">
        <v>58</v>
      </c>
      <c r="H239">
        <v>1</v>
      </c>
      <c r="I239" s="39">
        <f t="shared" si="59"/>
        <v>44245</v>
      </c>
      <c r="N239" s="183">
        <f t="shared" ca="1" si="60"/>
        <v>46204.530793402781</v>
      </c>
      <c r="O239" s="40">
        <f t="shared" ca="1" si="61"/>
        <v>13.008219178082191</v>
      </c>
      <c r="P239" s="39">
        <f t="shared" ca="1" si="62"/>
        <v>575548.65753424657</v>
      </c>
    </row>
    <row r="240" spans="1:19" x14ac:dyDescent="0.25">
      <c r="A240" t="s">
        <v>1300</v>
      </c>
      <c r="B240" t="s">
        <v>792</v>
      </c>
      <c r="C240" s="96">
        <v>41487</v>
      </c>
      <c r="D240">
        <v>52638</v>
      </c>
      <c r="F240" t="s">
        <v>58</v>
      </c>
      <c r="G240" t="s">
        <v>58</v>
      </c>
      <c r="H240">
        <v>1</v>
      </c>
      <c r="I240" s="39">
        <f t="shared" si="59"/>
        <v>52638</v>
      </c>
      <c r="N240" s="183">
        <f t="shared" ca="1" si="60"/>
        <v>46204.530793402781</v>
      </c>
      <c r="O240" s="40">
        <f t="shared" ca="1" si="61"/>
        <v>12.923287671232877</v>
      </c>
      <c r="P240" s="39">
        <f t="shared" ca="1" si="62"/>
        <v>680256.01643835625</v>
      </c>
    </row>
    <row r="241" spans="1:16" x14ac:dyDescent="0.25">
      <c r="A241" t="s">
        <v>1301</v>
      </c>
      <c r="B241" t="s">
        <v>793</v>
      </c>
      <c r="C241" s="96">
        <v>41671</v>
      </c>
      <c r="D241">
        <v>11156.53</v>
      </c>
      <c r="F241" t="s">
        <v>58</v>
      </c>
      <c r="G241" t="s">
        <v>58</v>
      </c>
      <c r="H241">
        <v>1</v>
      </c>
      <c r="I241" s="39">
        <f t="shared" si="59"/>
        <v>11156.53</v>
      </c>
      <c r="N241" s="183">
        <f t="shared" ca="1" si="60"/>
        <v>46204.530793402781</v>
      </c>
      <c r="O241" s="40">
        <f t="shared" ca="1" si="61"/>
        <v>12.419178082191781</v>
      </c>
      <c r="P241" s="39">
        <f t="shared" ca="1" si="62"/>
        <v>138554.93284931508</v>
      </c>
    </row>
    <row r="242" spans="1:16" x14ac:dyDescent="0.25">
      <c r="A242" t="s">
        <v>1302</v>
      </c>
      <c r="B242" t="s">
        <v>793</v>
      </c>
      <c r="C242" s="96">
        <v>41760</v>
      </c>
      <c r="D242">
        <v>11535.08</v>
      </c>
      <c r="F242" t="s">
        <v>58</v>
      </c>
      <c r="G242" t="s">
        <v>58</v>
      </c>
      <c r="H242">
        <v>1</v>
      </c>
      <c r="I242" s="39">
        <f t="shared" si="59"/>
        <v>11535.08</v>
      </c>
      <c r="N242" s="183">
        <f t="shared" ca="1" si="60"/>
        <v>46204.530793402781</v>
      </c>
      <c r="O242" s="40">
        <f t="shared" ca="1" si="61"/>
        <v>12.175342465753424</v>
      </c>
      <c r="P242" s="39">
        <f t="shared" ca="1" si="62"/>
        <v>140443.549369863</v>
      </c>
    </row>
    <row r="243" spans="1:16" x14ac:dyDescent="0.25">
      <c r="A243" t="s">
        <v>1303</v>
      </c>
      <c r="B243" t="s">
        <v>794</v>
      </c>
      <c r="C243" s="96">
        <v>42005</v>
      </c>
      <c r="D243">
        <v>45557</v>
      </c>
      <c r="F243" t="s">
        <v>58</v>
      </c>
      <c r="G243" t="s">
        <v>58</v>
      </c>
      <c r="H243">
        <v>1</v>
      </c>
      <c r="I243" s="39">
        <f t="shared" si="59"/>
        <v>45557</v>
      </c>
      <c r="N243" s="183">
        <f t="shared" ca="1" si="60"/>
        <v>46204.530793402781</v>
      </c>
      <c r="O243" s="40">
        <f t="shared" ca="1" si="61"/>
        <v>11.504109589041096</v>
      </c>
      <c r="P243" s="39">
        <f t="shared" ca="1" si="62"/>
        <v>524092.72054794524</v>
      </c>
    </row>
    <row r="244" spans="1:16" x14ac:dyDescent="0.25">
      <c r="A244" t="s">
        <v>1304</v>
      </c>
      <c r="B244" t="s">
        <v>795</v>
      </c>
      <c r="C244" s="96">
        <v>42064</v>
      </c>
      <c r="D244">
        <v>10983.72</v>
      </c>
      <c r="F244" t="s">
        <v>58</v>
      </c>
      <c r="G244" t="s">
        <v>58</v>
      </c>
      <c r="H244">
        <v>1</v>
      </c>
      <c r="I244" s="39">
        <f t="shared" si="59"/>
        <v>10983.72</v>
      </c>
      <c r="N244" s="183">
        <f t="shared" ca="1" si="60"/>
        <v>46204.530793402781</v>
      </c>
      <c r="O244" s="40">
        <f t="shared" ca="1" si="61"/>
        <v>11.342465753424657</v>
      </c>
      <c r="P244" s="39">
        <f t="shared" ca="1" si="62"/>
        <v>124582.46794520547</v>
      </c>
    </row>
    <row r="245" spans="1:16" x14ac:dyDescent="0.25">
      <c r="A245" t="s">
        <v>1305</v>
      </c>
      <c r="B245" t="s">
        <v>796</v>
      </c>
      <c r="C245" s="96">
        <v>42736</v>
      </c>
      <c r="D245">
        <v>28950</v>
      </c>
      <c r="F245" t="s">
        <v>58</v>
      </c>
      <c r="G245" t="s">
        <v>58</v>
      </c>
      <c r="H245">
        <v>1</v>
      </c>
      <c r="I245" s="39">
        <f t="shared" si="59"/>
        <v>28950</v>
      </c>
      <c r="N245" s="183">
        <f t="shared" ca="1" si="60"/>
        <v>46204.530793402781</v>
      </c>
      <c r="O245" s="40">
        <f t="shared" ca="1" si="61"/>
        <v>9.5013698630136982</v>
      </c>
      <c r="P245" s="39">
        <f t="shared" ca="1" si="62"/>
        <v>275064.65753424657</v>
      </c>
    </row>
    <row r="246" spans="1:16" x14ac:dyDescent="0.25">
      <c r="A246" t="s">
        <v>1306</v>
      </c>
      <c r="B246" t="s">
        <v>796</v>
      </c>
      <c r="C246" s="96">
        <v>42736</v>
      </c>
      <c r="D246">
        <v>34950</v>
      </c>
      <c r="F246" t="s">
        <v>58</v>
      </c>
      <c r="G246" t="s">
        <v>58</v>
      </c>
      <c r="H246">
        <v>1</v>
      </c>
      <c r="I246" s="39">
        <f t="shared" si="59"/>
        <v>34950</v>
      </c>
      <c r="N246" s="183">
        <f t="shared" ca="1" si="60"/>
        <v>46204.530793402781</v>
      </c>
      <c r="O246" s="40">
        <f t="shared" ca="1" si="61"/>
        <v>9.5013698630136982</v>
      </c>
      <c r="P246" s="39">
        <f t="shared" ca="1" si="62"/>
        <v>332072.87671232875</v>
      </c>
    </row>
    <row r="247" spans="1:16" x14ac:dyDescent="0.25">
      <c r="A247" t="s">
        <v>1307</v>
      </c>
      <c r="B247" t="s">
        <v>797</v>
      </c>
      <c r="C247" s="96">
        <v>42856</v>
      </c>
      <c r="D247">
        <v>5682.0219999999999</v>
      </c>
      <c r="F247" t="s">
        <v>58</v>
      </c>
      <c r="G247" t="s">
        <v>58</v>
      </c>
      <c r="H247">
        <v>1</v>
      </c>
      <c r="I247" s="39">
        <f t="shared" si="59"/>
        <v>5682.0219999999999</v>
      </c>
      <c r="N247" s="183">
        <f t="shared" ca="1" si="60"/>
        <v>46204.530793402781</v>
      </c>
      <c r="O247" s="40">
        <f t="shared" ca="1" si="61"/>
        <v>9.1726027397260275</v>
      </c>
      <c r="P247" s="39">
        <f t="shared" ca="1" si="62"/>
        <v>52118.930564383561</v>
      </c>
    </row>
    <row r="248" spans="1:16" x14ac:dyDescent="0.25">
      <c r="A248" t="s">
        <v>1308</v>
      </c>
      <c r="B248" t="s">
        <v>798</v>
      </c>
      <c r="C248" s="96">
        <v>42917</v>
      </c>
      <c r="D248">
        <v>6357</v>
      </c>
      <c r="F248" t="s">
        <v>58</v>
      </c>
      <c r="G248" t="s">
        <v>58</v>
      </c>
      <c r="H248">
        <v>1</v>
      </c>
      <c r="I248" s="39">
        <f t="shared" si="59"/>
        <v>6357</v>
      </c>
      <c r="N248" s="183">
        <f t="shared" ca="1" si="60"/>
        <v>46204.530793402781</v>
      </c>
      <c r="O248" s="40">
        <f t="shared" ca="1" si="61"/>
        <v>9.0054794520547947</v>
      </c>
      <c r="P248" s="39">
        <f t="shared" ca="1" si="62"/>
        <v>57247.832876712331</v>
      </c>
    </row>
    <row r="249" spans="1:16" x14ac:dyDescent="0.25">
      <c r="A249" t="s">
        <v>1309</v>
      </c>
      <c r="B249" t="s">
        <v>793</v>
      </c>
      <c r="C249" s="96">
        <v>39630</v>
      </c>
      <c r="D249">
        <v>25421.05</v>
      </c>
      <c r="F249" t="s">
        <v>58</v>
      </c>
      <c r="G249" t="s">
        <v>58</v>
      </c>
      <c r="H249">
        <v>1</v>
      </c>
      <c r="I249" s="39">
        <f t="shared" si="59"/>
        <v>25421.05</v>
      </c>
      <c r="N249" s="183">
        <f t="shared" ca="1" si="60"/>
        <v>46204.530793402781</v>
      </c>
      <c r="O249" s="40">
        <f t="shared" ca="1" si="61"/>
        <v>18.010958904109589</v>
      </c>
      <c r="P249" s="39">
        <f t="shared" ca="1" si="62"/>
        <v>457857.48684931506</v>
      </c>
    </row>
    <row r="250" spans="1:16" x14ac:dyDescent="0.25">
      <c r="A250" t="s">
        <v>1310</v>
      </c>
      <c r="B250" t="s">
        <v>799</v>
      </c>
      <c r="C250" s="96">
        <v>39692</v>
      </c>
      <c r="D250">
        <v>63515</v>
      </c>
      <c r="F250" t="s">
        <v>58</v>
      </c>
      <c r="G250" t="s">
        <v>58</v>
      </c>
      <c r="H250">
        <v>1</v>
      </c>
      <c r="I250" s="39">
        <f t="shared" si="59"/>
        <v>63515</v>
      </c>
      <c r="N250" s="183">
        <f t="shared" ca="1" si="60"/>
        <v>46204.530793402781</v>
      </c>
      <c r="O250" s="40">
        <f t="shared" ca="1" si="61"/>
        <v>17.841095890410958</v>
      </c>
      <c r="P250" s="39">
        <f t="shared" ca="1" si="62"/>
        <v>1133177.2054794519</v>
      </c>
    </row>
    <row r="251" spans="1:16" x14ac:dyDescent="0.25">
      <c r="A251" t="s">
        <v>1311</v>
      </c>
      <c r="B251" t="s">
        <v>800</v>
      </c>
      <c r="C251" s="96">
        <v>39722</v>
      </c>
      <c r="D251">
        <v>8631.58</v>
      </c>
      <c r="F251" t="s">
        <v>58</v>
      </c>
      <c r="G251" t="s">
        <v>58</v>
      </c>
      <c r="H251">
        <v>1</v>
      </c>
      <c r="I251" s="39">
        <f t="shared" si="59"/>
        <v>8631.58</v>
      </c>
      <c r="N251" s="183">
        <f t="shared" ca="1" si="60"/>
        <v>46204.530793402781</v>
      </c>
      <c r="O251" s="40">
        <f t="shared" ca="1" si="61"/>
        <v>17.758904109589039</v>
      </c>
      <c r="P251" s="39">
        <f t="shared" ca="1" si="62"/>
        <v>153287.40153424657</v>
      </c>
    </row>
    <row r="252" spans="1:16" x14ac:dyDescent="0.25">
      <c r="A252" t="s">
        <v>1312</v>
      </c>
      <c r="B252" t="s">
        <v>801</v>
      </c>
      <c r="C252" s="96">
        <v>39753</v>
      </c>
      <c r="D252">
        <v>13130</v>
      </c>
      <c r="F252" t="s">
        <v>58</v>
      </c>
      <c r="G252" t="s">
        <v>58</v>
      </c>
      <c r="H252">
        <v>1</v>
      </c>
      <c r="I252" s="39">
        <f t="shared" si="59"/>
        <v>13130</v>
      </c>
      <c r="N252" s="183">
        <f t="shared" ca="1" si="60"/>
        <v>46204.530793402781</v>
      </c>
      <c r="O252" s="40">
        <f t="shared" ca="1" si="61"/>
        <v>17.673972602739727</v>
      </c>
      <c r="P252" s="39">
        <f t="shared" ca="1" si="62"/>
        <v>232059.26027397261</v>
      </c>
    </row>
    <row r="253" spans="1:16" x14ac:dyDescent="0.25">
      <c r="A253" t="s">
        <v>1313</v>
      </c>
      <c r="B253" t="s">
        <v>801</v>
      </c>
      <c r="C253" s="96">
        <v>39814</v>
      </c>
      <c r="D253">
        <v>3320</v>
      </c>
      <c r="F253" t="s">
        <v>58</v>
      </c>
      <c r="G253" t="s">
        <v>58</v>
      </c>
      <c r="H253">
        <v>1</v>
      </c>
      <c r="I253" s="39">
        <f t="shared" si="59"/>
        <v>3320</v>
      </c>
      <c r="N253" s="183">
        <f t="shared" ca="1" si="60"/>
        <v>46204.530793402781</v>
      </c>
      <c r="O253" s="40">
        <f t="shared" ca="1" si="61"/>
        <v>17.506849315068493</v>
      </c>
      <c r="P253" s="39">
        <f t="shared" ca="1" si="62"/>
        <v>58122.739726027394</v>
      </c>
    </row>
    <row r="254" spans="1:16" x14ac:dyDescent="0.25">
      <c r="A254" t="s">
        <v>1314</v>
      </c>
      <c r="B254" t="s">
        <v>793</v>
      </c>
      <c r="C254" s="96">
        <v>39814</v>
      </c>
      <c r="D254">
        <v>10219.299999999999</v>
      </c>
      <c r="F254" t="s">
        <v>58</v>
      </c>
      <c r="G254" t="s">
        <v>58</v>
      </c>
      <c r="H254">
        <v>1</v>
      </c>
      <c r="I254" s="39">
        <f t="shared" si="59"/>
        <v>10219.299999999999</v>
      </c>
      <c r="N254" s="183">
        <f t="shared" ca="1" si="60"/>
        <v>46204.530793402781</v>
      </c>
      <c r="O254" s="40">
        <f t="shared" ca="1" si="61"/>
        <v>17.506849315068493</v>
      </c>
      <c r="P254" s="39">
        <f t="shared" ca="1" si="62"/>
        <v>178907.74520547944</v>
      </c>
    </row>
    <row r="255" spans="1:16" x14ac:dyDescent="0.25">
      <c r="A255" t="s">
        <v>1315</v>
      </c>
      <c r="B255" t="s">
        <v>802</v>
      </c>
      <c r="C255" s="96">
        <v>38596</v>
      </c>
      <c r="D255">
        <v>1750</v>
      </c>
      <c r="F255" t="s">
        <v>58</v>
      </c>
      <c r="G255" t="s">
        <v>58</v>
      </c>
      <c r="H255">
        <v>1</v>
      </c>
      <c r="I255" s="39">
        <f t="shared" si="59"/>
        <v>1750</v>
      </c>
      <c r="N255" s="183">
        <f t="shared" ca="1" si="60"/>
        <v>46204.530793402781</v>
      </c>
      <c r="O255" s="40">
        <f t="shared" ca="1" si="61"/>
        <v>20.843835616438355</v>
      </c>
      <c r="P255" s="39">
        <f t="shared" ca="1" si="62"/>
        <v>36476.71232876712</v>
      </c>
    </row>
    <row r="256" spans="1:16" x14ac:dyDescent="0.25">
      <c r="A256" t="s">
        <v>1316</v>
      </c>
      <c r="B256" t="s">
        <v>803</v>
      </c>
      <c r="C256" s="96">
        <v>39203</v>
      </c>
      <c r="D256">
        <v>18500</v>
      </c>
      <c r="F256" t="s">
        <v>58</v>
      </c>
      <c r="G256" t="s">
        <v>58</v>
      </c>
      <c r="H256">
        <v>1</v>
      </c>
      <c r="I256" s="39">
        <f t="shared" si="59"/>
        <v>18500</v>
      </c>
      <c r="N256" s="183">
        <f t="shared" ca="1" si="60"/>
        <v>46204.530793402781</v>
      </c>
      <c r="O256" s="40">
        <f t="shared" ca="1" si="61"/>
        <v>19.18082191780822</v>
      </c>
      <c r="P256" s="39">
        <f t="shared" ca="1" si="62"/>
        <v>354845.2054794521</v>
      </c>
    </row>
    <row r="257" spans="1:19" x14ac:dyDescent="0.25">
      <c r="A257" t="s">
        <v>1317</v>
      </c>
      <c r="B257" t="s">
        <v>804</v>
      </c>
      <c r="C257" s="96">
        <v>39203</v>
      </c>
      <c r="D257">
        <v>43200</v>
      </c>
      <c r="F257" t="s">
        <v>58</v>
      </c>
      <c r="G257" t="s">
        <v>58</v>
      </c>
      <c r="H257">
        <v>1</v>
      </c>
      <c r="I257" s="39">
        <f t="shared" si="59"/>
        <v>43200</v>
      </c>
      <c r="L257" s="52"/>
      <c r="N257" s="183">
        <f t="shared" ca="1" si="60"/>
        <v>46204.530793402781</v>
      </c>
      <c r="O257" s="40">
        <f t="shared" ca="1" si="61"/>
        <v>19.18082191780822</v>
      </c>
      <c r="P257" s="39">
        <f t="shared" ca="1" si="62"/>
        <v>828611.50684931513</v>
      </c>
    </row>
    <row r="258" spans="1:19" x14ac:dyDescent="0.25">
      <c r="A258" t="s">
        <v>1318</v>
      </c>
      <c r="B258" t="s">
        <v>978</v>
      </c>
      <c r="C258" s="96">
        <v>42767</v>
      </c>
      <c r="D258">
        <v>93000</v>
      </c>
      <c r="F258" t="s">
        <v>58</v>
      </c>
      <c r="G258" t="s">
        <v>58</v>
      </c>
      <c r="H258">
        <v>1</v>
      </c>
      <c r="I258" s="39">
        <f t="shared" si="59"/>
        <v>93000</v>
      </c>
      <c r="L258" s="52"/>
      <c r="N258" s="183">
        <f t="shared" ca="1" si="60"/>
        <v>46204.530793402781</v>
      </c>
      <c r="O258" s="40">
        <f t="shared" ca="1" si="61"/>
        <v>9.4164383561643827</v>
      </c>
      <c r="P258" s="39">
        <f t="shared" ca="1" si="62"/>
        <v>875728.76712328754</v>
      </c>
    </row>
    <row r="259" spans="1:19" x14ac:dyDescent="0.25">
      <c r="A259" t="s">
        <v>1319</v>
      </c>
      <c r="B259" t="s">
        <v>979</v>
      </c>
      <c r="C259" s="96">
        <v>42767</v>
      </c>
      <c r="D259">
        <v>55523.78</v>
      </c>
      <c r="F259" t="s">
        <v>58</v>
      </c>
      <c r="G259" t="s">
        <v>58</v>
      </c>
      <c r="H259">
        <v>1</v>
      </c>
      <c r="I259" s="39">
        <f t="shared" si="59"/>
        <v>55523.78</v>
      </c>
      <c r="L259" s="52"/>
      <c r="N259" s="183">
        <f t="shared" ca="1" si="60"/>
        <v>46204.530793402781</v>
      </c>
      <c r="O259" s="40">
        <f t="shared" ca="1" si="61"/>
        <v>9.4164383561643827</v>
      </c>
      <c r="P259" s="39">
        <f t="shared" ca="1" si="62"/>
        <v>522836.25167123281</v>
      </c>
    </row>
    <row r="260" spans="1:19" x14ac:dyDescent="0.25">
      <c r="A260" t="s">
        <v>1320</v>
      </c>
      <c r="B260" t="s">
        <v>980</v>
      </c>
      <c r="C260" s="96">
        <v>42887</v>
      </c>
      <c r="D260">
        <v>31671.06</v>
      </c>
      <c r="F260" t="s">
        <v>58</v>
      </c>
      <c r="G260" t="s">
        <v>58</v>
      </c>
      <c r="H260">
        <v>1</v>
      </c>
      <c r="I260" s="39">
        <f t="shared" si="59"/>
        <v>31671.06</v>
      </c>
      <c r="L260" s="52"/>
      <c r="N260" s="183">
        <f t="shared" ca="1" si="60"/>
        <v>46204.530793402781</v>
      </c>
      <c r="O260" s="40">
        <f t="shared" ca="1" si="61"/>
        <v>9.087671232876712</v>
      </c>
      <c r="P260" s="39">
        <f t="shared" ca="1" si="62"/>
        <v>287816.18087671231</v>
      </c>
    </row>
    <row r="261" spans="1:19" x14ac:dyDescent="0.25">
      <c r="A261" t="s">
        <v>1321</v>
      </c>
      <c r="B261" t="s">
        <v>981</v>
      </c>
      <c r="C261" s="96">
        <v>42917</v>
      </c>
      <c r="D261">
        <v>1482.3</v>
      </c>
      <c r="F261" t="s">
        <v>58</v>
      </c>
      <c r="G261" t="s">
        <v>58</v>
      </c>
      <c r="H261">
        <v>1</v>
      </c>
      <c r="I261" s="39">
        <f t="shared" si="59"/>
        <v>1482.3</v>
      </c>
      <c r="L261" s="52"/>
      <c r="N261" s="183">
        <f t="shared" ca="1" si="60"/>
        <v>46204.530793402781</v>
      </c>
      <c r="O261" s="40">
        <f t="shared" ca="1" si="61"/>
        <v>9.0054794520547947</v>
      </c>
      <c r="P261" s="39">
        <f t="shared" ca="1" si="62"/>
        <v>13348.822191780822</v>
      </c>
    </row>
    <row r="262" spans="1:19" x14ac:dyDescent="0.25">
      <c r="A262" t="s">
        <v>1322</v>
      </c>
      <c r="B262" t="s">
        <v>982</v>
      </c>
      <c r="C262" s="96">
        <v>43070</v>
      </c>
      <c r="D262">
        <v>28508.77</v>
      </c>
      <c r="F262" t="s">
        <v>58</v>
      </c>
      <c r="G262" t="s">
        <v>58</v>
      </c>
      <c r="H262">
        <v>1</v>
      </c>
      <c r="I262" s="39">
        <f t="shared" si="59"/>
        <v>28508.77</v>
      </c>
      <c r="L262" s="52"/>
      <c r="N262" s="183">
        <f t="shared" ca="1" si="60"/>
        <v>46204.530793402781</v>
      </c>
      <c r="O262" s="40">
        <f t="shared" ca="1" si="61"/>
        <v>8.5863013698630137</v>
      </c>
      <c r="P262" s="39">
        <f t="shared" ca="1" si="62"/>
        <v>244784.8909041096</v>
      </c>
    </row>
    <row r="263" spans="1:19" x14ac:dyDescent="0.25">
      <c r="A263" t="s">
        <v>1323</v>
      </c>
      <c r="B263" t="s">
        <v>983</v>
      </c>
      <c r="C263" s="96">
        <v>43586</v>
      </c>
      <c r="D263">
        <v>7344</v>
      </c>
      <c r="F263" t="s">
        <v>58</v>
      </c>
      <c r="G263" t="s">
        <v>58</v>
      </c>
      <c r="H263">
        <v>1</v>
      </c>
      <c r="I263" s="39">
        <f t="shared" si="59"/>
        <v>7344</v>
      </c>
      <c r="L263" s="52"/>
      <c r="N263" s="183">
        <f t="shared" ca="1" si="60"/>
        <v>46204.530793402781</v>
      </c>
      <c r="O263" s="40">
        <f t="shared" ca="1" si="61"/>
        <v>7.1726027397260275</v>
      </c>
      <c r="P263" s="39">
        <f t="shared" ca="1" si="62"/>
        <v>52675.594520547944</v>
      </c>
    </row>
    <row r="264" spans="1:19" x14ac:dyDescent="0.25">
      <c r="A264" t="s">
        <v>1324</v>
      </c>
      <c r="B264" t="s">
        <v>959</v>
      </c>
      <c r="C264" s="96">
        <v>43617</v>
      </c>
      <c r="D264">
        <v>9445.1299999999992</v>
      </c>
      <c r="F264" t="s">
        <v>58</v>
      </c>
      <c r="G264" t="s">
        <v>58</v>
      </c>
      <c r="H264">
        <v>1</v>
      </c>
      <c r="I264" s="39">
        <f t="shared" si="59"/>
        <v>9445.1299999999992</v>
      </c>
      <c r="L264" s="52"/>
      <c r="N264" s="183">
        <f t="shared" ca="1" si="60"/>
        <v>46204.530793402781</v>
      </c>
      <c r="O264" s="40">
        <f t="shared" ca="1" si="61"/>
        <v>7.087671232876712</v>
      </c>
      <c r="P264" s="39">
        <f t="shared" ca="1" si="62"/>
        <v>66943.976191780806</v>
      </c>
    </row>
    <row r="265" spans="1:19" x14ac:dyDescent="0.25">
      <c r="A265" t="s">
        <v>1325</v>
      </c>
      <c r="B265" t="s">
        <v>960</v>
      </c>
      <c r="C265" s="96">
        <v>43586</v>
      </c>
      <c r="D265">
        <v>5273</v>
      </c>
      <c r="F265" t="s">
        <v>58</v>
      </c>
      <c r="G265" t="s">
        <v>58</v>
      </c>
      <c r="H265">
        <v>1</v>
      </c>
      <c r="I265" s="39">
        <f t="shared" si="59"/>
        <v>5273</v>
      </c>
      <c r="L265" s="52"/>
      <c r="N265" s="183">
        <f t="shared" ca="1" si="60"/>
        <v>46204.530793402781</v>
      </c>
      <c r="O265" s="40">
        <f t="shared" ca="1" si="61"/>
        <v>7.1726027397260275</v>
      </c>
      <c r="P265" s="39">
        <f t="shared" ca="1" si="62"/>
        <v>37821.134246575341</v>
      </c>
    </row>
    <row r="266" spans="1:19" x14ac:dyDescent="0.25">
      <c r="A266" t="s">
        <v>1326</v>
      </c>
      <c r="B266" t="s">
        <v>805</v>
      </c>
      <c r="C266" s="96">
        <v>42491</v>
      </c>
      <c r="D266">
        <v>153000</v>
      </c>
      <c r="F266" t="s">
        <v>58</v>
      </c>
      <c r="G266" t="s">
        <v>58</v>
      </c>
      <c r="H266">
        <v>1</v>
      </c>
      <c r="I266" s="39">
        <f t="shared" si="59"/>
        <v>153000</v>
      </c>
      <c r="N266" s="183">
        <f t="shared" ca="1" si="60"/>
        <v>46204.530793402781</v>
      </c>
      <c r="O266" s="40">
        <f t="shared" ca="1" si="61"/>
        <v>10.172602739726027</v>
      </c>
      <c r="P266" s="39">
        <f t="shared" ca="1" si="62"/>
        <v>1556408.2191780822</v>
      </c>
    </row>
    <row r="267" spans="1:19" x14ac:dyDescent="0.25">
      <c r="C267" s="127" t="s">
        <v>58</v>
      </c>
      <c r="D267" s="58"/>
      <c r="E267" s="58"/>
      <c r="F267" s="58"/>
      <c r="G267" s="58"/>
      <c r="H267" s="58"/>
      <c r="I267" s="59">
        <f>SUM(I231:I266)</f>
        <v>906583.42200000014</v>
      </c>
      <c r="K267" s="39">
        <f>+I267</f>
        <v>906583.42200000014</v>
      </c>
      <c r="N267" s="183"/>
      <c r="Q267" s="39">
        <v>1</v>
      </c>
      <c r="R267" s="39">
        <f ca="1">SUM(P231:P266)*Q267</f>
        <v>11841623.828756165</v>
      </c>
      <c r="S267" s="3">
        <f ca="1">+R267/$R$338</f>
        <v>2.2072360860702116E-2</v>
      </c>
    </row>
    <row r="268" spans="1:19" x14ac:dyDescent="0.25">
      <c r="A268" s="127" t="s">
        <v>848</v>
      </c>
    </row>
    <row r="269" spans="1:19" x14ac:dyDescent="0.25">
      <c r="A269" t="s">
        <v>1327</v>
      </c>
      <c r="B269" t="s">
        <v>806</v>
      </c>
      <c r="C269" s="96">
        <v>42644</v>
      </c>
      <c r="D269">
        <v>347475</v>
      </c>
      <c r="F269" s="7" t="s">
        <v>411</v>
      </c>
      <c r="G269" t="s">
        <v>831</v>
      </c>
      <c r="H269">
        <v>1</v>
      </c>
      <c r="I269" s="39">
        <f t="shared" ref="I269:I270" si="64">+D269*H269</f>
        <v>347475</v>
      </c>
      <c r="N269" s="183">
        <f t="shared" ca="1" si="60"/>
        <v>46204.530793402781</v>
      </c>
      <c r="O269" s="40">
        <f t="shared" ref="O269:O270" ca="1" si="65">_xlfn.DAYS(N269,C269)/365</f>
        <v>9.7534246575342465</v>
      </c>
      <c r="P269" s="39">
        <f t="shared" ref="P269:P270" ca="1" si="66">+O269*I269</f>
        <v>3389071.2328767125</v>
      </c>
    </row>
    <row r="270" spans="1:19" x14ac:dyDescent="0.25">
      <c r="A270" s="123" t="s">
        <v>1328</v>
      </c>
      <c r="B270" s="123" t="s">
        <v>975</v>
      </c>
      <c r="C270" s="124">
        <v>43040</v>
      </c>
      <c r="D270" s="125">
        <v>3795.5</v>
      </c>
      <c r="F270" s="7" t="s">
        <v>411</v>
      </c>
      <c r="G270" t="s">
        <v>831</v>
      </c>
      <c r="H270">
        <v>1</v>
      </c>
      <c r="I270" s="39">
        <f t="shared" si="64"/>
        <v>3795.5</v>
      </c>
      <c r="N270" s="183">
        <f t="shared" ca="1" si="60"/>
        <v>46204.530793402781</v>
      </c>
      <c r="O270" s="40">
        <f t="shared" ca="1" si="65"/>
        <v>8.668493150684931</v>
      </c>
      <c r="P270" s="39">
        <f t="shared" ca="1" si="66"/>
        <v>32901.265753424654</v>
      </c>
    </row>
    <row r="271" spans="1:19" x14ac:dyDescent="0.25">
      <c r="C271" s="127" t="s">
        <v>848</v>
      </c>
      <c r="D271" s="58"/>
      <c r="E271" s="58"/>
      <c r="F271" s="58"/>
      <c r="G271" s="58"/>
      <c r="H271" s="58"/>
      <c r="I271" s="59">
        <f>SUM(I269:I270)</f>
        <v>351270.5</v>
      </c>
      <c r="K271" s="39">
        <f>+I271</f>
        <v>351270.5</v>
      </c>
      <c r="Q271" s="39">
        <v>1</v>
      </c>
      <c r="R271" s="39">
        <f ca="1">SUM(P269:P270)*Q271</f>
        <v>3421972.4986301372</v>
      </c>
      <c r="S271" s="3">
        <f ca="1">+R271/$R$338</f>
        <v>6.3784336453707961E-3</v>
      </c>
    </row>
    <row r="277" spans="1:16" x14ac:dyDescent="0.25">
      <c r="A277" s="6" t="s">
        <v>1329</v>
      </c>
    </row>
    <row r="279" spans="1:16" x14ac:dyDescent="0.25">
      <c r="A279" s="176" t="s">
        <v>1018</v>
      </c>
      <c r="B279" s="176" t="s">
        <v>1019</v>
      </c>
      <c r="C279" s="177">
        <v>44409</v>
      </c>
      <c r="D279" s="178">
        <v>10850</v>
      </c>
      <c r="F279" s="176" t="s">
        <v>1032</v>
      </c>
      <c r="I279" s="178">
        <v>10850</v>
      </c>
      <c r="N279" s="183">
        <f t="shared" ref="N279:N322" ca="1" si="67">NOW()</f>
        <v>46204.530793402781</v>
      </c>
      <c r="O279" s="40">
        <f t="shared" ref="O279:O322" ca="1" si="68">_xlfn.DAYS(N279,C279)/365</f>
        <v>4.9178082191780819</v>
      </c>
      <c r="P279" s="39">
        <f t="shared" ref="P279:P322" ca="1" si="69">+O279*I279</f>
        <v>53358.219178082189</v>
      </c>
    </row>
    <row r="280" spans="1:16" x14ac:dyDescent="0.25">
      <c r="A280" s="176" t="s">
        <v>1020</v>
      </c>
      <c r="B280" s="176" t="s">
        <v>1021</v>
      </c>
      <c r="C280" s="177">
        <v>44470</v>
      </c>
      <c r="D280" s="178">
        <v>8025</v>
      </c>
      <c r="F280" s="176" t="s">
        <v>1032</v>
      </c>
      <c r="I280" s="178">
        <v>8025</v>
      </c>
      <c r="N280" s="183">
        <f t="shared" ca="1" si="67"/>
        <v>46204.530793402781</v>
      </c>
      <c r="O280" s="40">
        <f t="shared" ca="1" si="68"/>
        <v>4.7506849315068491</v>
      </c>
      <c r="P280" s="39">
        <f t="shared" ca="1" si="69"/>
        <v>38124.246575342462</v>
      </c>
    </row>
    <row r="281" spans="1:16" x14ac:dyDescent="0.25">
      <c r="A281" s="176" t="s">
        <v>1022</v>
      </c>
      <c r="B281" s="176" t="s">
        <v>1023</v>
      </c>
      <c r="C281" s="177">
        <v>44470</v>
      </c>
      <c r="D281" s="178">
        <v>11786</v>
      </c>
      <c r="F281" s="176" t="s">
        <v>1032</v>
      </c>
      <c r="I281" s="178">
        <v>11786</v>
      </c>
      <c r="N281" s="183">
        <f t="shared" ca="1" si="67"/>
        <v>46204.530793402781</v>
      </c>
      <c r="O281" s="40">
        <f t="shared" ref="O281" ca="1" si="70">_xlfn.DAYS(N281,C281)/365</f>
        <v>4.7506849315068491</v>
      </c>
      <c r="P281" s="39">
        <f t="shared" ref="P281" ca="1" si="71">+O281*I281</f>
        <v>55991.572602739725</v>
      </c>
    </row>
    <row r="282" spans="1:16" x14ac:dyDescent="0.25">
      <c r="A282" s="191" t="s">
        <v>1370</v>
      </c>
      <c r="B282" s="191" t="s">
        <v>1371</v>
      </c>
      <c r="C282" s="177">
        <v>44621</v>
      </c>
      <c r="D282" s="178">
        <v>7910</v>
      </c>
      <c r="F282" s="176" t="s">
        <v>1032</v>
      </c>
      <c r="I282" s="178">
        <v>11786</v>
      </c>
      <c r="N282" s="183">
        <f t="shared" ca="1" si="67"/>
        <v>46204.530793402781</v>
      </c>
      <c r="O282" s="40">
        <f t="shared" ca="1" si="68"/>
        <v>4.3369863013698629</v>
      </c>
      <c r="P282" s="39">
        <f t="shared" ca="1" si="69"/>
        <v>51115.720547945202</v>
      </c>
    </row>
    <row r="283" spans="1:16" x14ac:dyDescent="0.25">
      <c r="A283" s="176" t="s">
        <v>1024</v>
      </c>
      <c r="B283" s="176" t="s">
        <v>1025</v>
      </c>
      <c r="C283" s="177">
        <v>44470</v>
      </c>
      <c r="D283" s="178">
        <v>28650</v>
      </c>
      <c r="F283" s="176" t="s">
        <v>1032</v>
      </c>
      <c r="I283" s="178">
        <v>28650</v>
      </c>
      <c r="N283" s="183">
        <f t="shared" ca="1" si="67"/>
        <v>46204.530793402781</v>
      </c>
      <c r="O283" s="40">
        <f t="shared" ca="1" si="68"/>
        <v>4.7506849315068491</v>
      </c>
      <c r="P283" s="39">
        <f t="shared" ca="1" si="69"/>
        <v>136107.12328767122</v>
      </c>
    </row>
    <row r="284" spans="1:16" x14ac:dyDescent="0.25">
      <c r="A284" s="176" t="s">
        <v>1026</v>
      </c>
      <c r="B284" s="176" t="s">
        <v>1027</v>
      </c>
      <c r="C284" s="177">
        <v>44470</v>
      </c>
      <c r="D284" s="178">
        <v>21475</v>
      </c>
      <c r="F284" s="176" t="s">
        <v>1032</v>
      </c>
      <c r="I284" s="178">
        <v>21475</v>
      </c>
      <c r="N284" s="183">
        <f t="shared" ca="1" si="67"/>
        <v>46204.530793402781</v>
      </c>
      <c r="O284" s="40">
        <f t="shared" ca="1" si="68"/>
        <v>4.7506849315068491</v>
      </c>
      <c r="P284" s="39">
        <f t="shared" ca="1" si="69"/>
        <v>102020.95890410959</v>
      </c>
    </row>
    <row r="285" spans="1:16" x14ac:dyDescent="0.25">
      <c r="A285" t="s">
        <v>1330</v>
      </c>
      <c r="B285" t="s">
        <v>735</v>
      </c>
      <c r="C285" s="96">
        <v>38322</v>
      </c>
      <c r="D285">
        <v>38500</v>
      </c>
      <c r="F285" s="176" t="s">
        <v>1032</v>
      </c>
      <c r="G285" t="s">
        <v>831</v>
      </c>
      <c r="H285">
        <v>1</v>
      </c>
      <c r="I285" s="39">
        <f t="shared" ref="I285:I321" si="72">+D285*H285</f>
        <v>38500</v>
      </c>
      <c r="N285" s="183">
        <f t="shared" ca="1" si="67"/>
        <v>46204.530793402781</v>
      </c>
      <c r="O285" s="40">
        <f t="shared" ca="1" si="68"/>
        <v>21.594520547945205</v>
      </c>
      <c r="P285" s="39">
        <f t="shared" ca="1" si="69"/>
        <v>831389.04109589034</v>
      </c>
    </row>
    <row r="286" spans="1:16" x14ac:dyDescent="0.25">
      <c r="A286" t="s">
        <v>1331</v>
      </c>
      <c r="B286" t="s">
        <v>764</v>
      </c>
      <c r="C286" s="96">
        <v>39600</v>
      </c>
      <c r="D286">
        <v>24500</v>
      </c>
      <c r="F286" t="s">
        <v>414</v>
      </c>
      <c r="G286" t="s">
        <v>831</v>
      </c>
      <c r="H286">
        <v>1</v>
      </c>
      <c r="I286" s="39">
        <f t="shared" si="72"/>
        <v>24500</v>
      </c>
      <c r="N286" s="183">
        <f t="shared" ca="1" si="67"/>
        <v>46204.530793402781</v>
      </c>
      <c r="O286" s="40">
        <f t="shared" ca="1" si="68"/>
        <v>18.093150684931508</v>
      </c>
      <c r="P286" s="39">
        <f t="shared" ca="1" si="69"/>
        <v>443282.19178082194</v>
      </c>
    </row>
    <row r="287" spans="1:16" x14ac:dyDescent="0.25">
      <c r="A287" t="s">
        <v>1332</v>
      </c>
      <c r="B287" t="s">
        <v>765</v>
      </c>
      <c r="C287" s="96">
        <v>39630</v>
      </c>
      <c r="D287">
        <v>2800</v>
      </c>
      <c r="F287" t="s">
        <v>414</v>
      </c>
      <c r="G287" t="s">
        <v>831</v>
      </c>
      <c r="H287">
        <v>1</v>
      </c>
      <c r="I287" s="39">
        <f t="shared" si="72"/>
        <v>2800</v>
      </c>
      <c r="N287" s="183">
        <f t="shared" ca="1" si="67"/>
        <v>46204.530793402781</v>
      </c>
      <c r="O287" s="40">
        <f t="shared" ca="1" si="68"/>
        <v>18.010958904109589</v>
      </c>
      <c r="P287" s="39">
        <f t="shared" ca="1" si="69"/>
        <v>50430.684931506854</v>
      </c>
    </row>
    <row r="288" spans="1:16" x14ac:dyDescent="0.25">
      <c r="A288" t="s">
        <v>1333</v>
      </c>
      <c r="B288" t="s">
        <v>736</v>
      </c>
      <c r="C288" s="96">
        <v>38322</v>
      </c>
      <c r="D288">
        <v>30500</v>
      </c>
      <c r="F288" s="176" t="s">
        <v>1032</v>
      </c>
      <c r="G288" t="s">
        <v>831</v>
      </c>
      <c r="H288">
        <v>1</v>
      </c>
      <c r="I288" s="39">
        <f t="shared" si="72"/>
        <v>30500</v>
      </c>
      <c r="N288" s="183">
        <f t="shared" ca="1" si="67"/>
        <v>46204.530793402781</v>
      </c>
      <c r="O288" s="40">
        <f t="shared" ca="1" si="68"/>
        <v>21.594520547945205</v>
      </c>
      <c r="P288" s="39">
        <f t="shared" ca="1" si="69"/>
        <v>658632.87671232875</v>
      </c>
    </row>
    <row r="289" spans="1:16" x14ac:dyDescent="0.25">
      <c r="A289" t="s">
        <v>1334</v>
      </c>
      <c r="B289" t="s">
        <v>767</v>
      </c>
      <c r="C289" s="96">
        <v>39692</v>
      </c>
      <c r="D289">
        <v>6200</v>
      </c>
      <c r="F289" t="s">
        <v>414</v>
      </c>
      <c r="G289" t="s">
        <v>831</v>
      </c>
      <c r="H289">
        <v>1</v>
      </c>
      <c r="I289" s="39">
        <f t="shared" si="72"/>
        <v>6200</v>
      </c>
      <c r="N289" s="183">
        <f t="shared" ca="1" si="67"/>
        <v>46204.530793402781</v>
      </c>
      <c r="O289" s="40">
        <f t="shared" ca="1" si="68"/>
        <v>17.841095890410958</v>
      </c>
      <c r="P289" s="39">
        <f t="shared" ca="1" si="69"/>
        <v>110614.79452054795</v>
      </c>
    </row>
    <row r="290" spans="1:16" x14ac:dyDescent="0.25">
      <c r="A290" t="s">
        <v>1335</v>
      </c>
      <c r="B290" t="s">
        <v>962</v>
      </c>
      <c r="C290" s="96">
        <v>43525</v>
      </c>
      <c r="D290">
        <v>15500</v>
      </c>
      <c r="F290" s="151" t="s">
        <v>414</v>
      </c>
      <c r="G290" t="s">
        <v>831</v>
      </c>
      <c r="H290">
        <v>1</v>
      </c>
      <c r="I290" s="39">
        <f t="shared" si="72"/>
        <v>15500</v>
      </c>
      <c r="N290" s="183">
        <f t="shared" ca="1" si="67"/>
        <v>46204.530793402781</v>
      </c>
      <c r="O290" s="40">
        <f t="shared" ca="1" si="68"/>
        <v>7.3397260273972602</v>
      </c>
      <c r="P290" s="39">
        <f t="shared" ca="1" si="69"/>
        <v>113765.75342465754</v>
      </c>
    </row>
    <row r="291" spans="1:16" x14ac:dyDescent="0.25">
      <c r="A291" t="s">
        <v>1336</v>
      </c>
      <c r="B291" t="s">
        <v>769</v>
      </c>
      <c r="C291" s="96">
        <v>39722</v>
      </c>
      <c r="D291">
        <v>6500</v>
      </c>
      <c r="F291" t="s">
        <v>414</v>
      </c>
      <c r="G291" t="s">
        <v>831</v>
      </c>
      <c r="H291">
        <v>1</v>
      </c>
      <c r="I291" s="39">
        <f t="shared" si="72"/>
        <v>6500</v>
      </c>
      <c r="N291" s="183">
        <f t="shared" ca="1" si="67"/>
        <v>46204.530793402781</v>
      </c>
      <c r="O291" s="40">
        <f t="shared" ca="1" si="68"/>
        <v>17.758904109589039</v>
      </c>
      <c r="P291" s="39">
        <f t="shared" ca="1" si="69"/>
        <v>115432.87671232875</v>
      </c>
    </row>
    <row r="292" spans="1:16" x14ac:dyDescent="0.25">
      <c r="A292" t="s">
        <v>1337</v>
      </c>
      <c r="B292" t="s">
        <v>770</v>
      </c>
      <c r="C292" s="96">
        <v>40026</v>
      </c>
      <c r="D292">
        <v>21000</v>
      </c>
      <c r="F292" t="s">
        <v>414</v>
      </c>
      <c r="G292" t="s">
        <v>831</v>
      </c>
      <c r="H292">
        <v>1</v>
      </c>
      <c r="I292" s="39">
        <f t="shared" si="72"/>
        <v>21000</v>
      </c>
      <c r="N292" s="183">
        <f t="shared" ca="1" si="67"/>
        <v>46204.530793402781</v>
      </c>
      <c r="O292" s="40">
        <f t="shared" ca="1" si="68"/>
        <v>16.926027397260274</v>
      </c>
      <c r="P292" s="39">
        <f t="shared" ca="1" si="69"/>
        <v>355446.57534246577</v>
      </c>
    </row>
    <row r="293" spans="1:16" x14ac:dyDescent="0.25">
      <c r="A293" t="s">
        <v>1338</v>
      </c>
      <c r="B293" t="s">
        <v>771</v>
      </c>
      <c r="C293" s="96">
        <v>40026</v>
      </c>
      <c r="D293">
        <v>9800</v>
      </c>
      <c r="F293" t="s">
        <v>414</v>
      </c>
      <c r="G293" t="s">
        <v>831</v>
      </c>
      <c r="H293">
        <v>1</v>
      </c>
      <c r="I293" s="39">
        <f t="shared" si="72"/>
        <v>9800</v>
      </c>
      <c r="N293" s="183">
        <f t="shared" ca="1" si="67"/>
        <v>46204.530793402781</v>
      </c>
      <c r="O293" s="40">
        <f t="shared" ca="1" si="68"/>
        <v>16.926027397260274</v>
      </c>
      <c r="P293" s="39">
        <f t="shared" ca="1" si="69"/>
        <v>165875.0684931507</v>
      </c>
    </row>
    <row r="294" spans="1:16" x14ac:dyDescent="0.25">
      <c r="A294" t="s">
        <v>1339</v>
      </c>
      <c r="B294" t="s">
        <v>772</v>
      </c>
      <c r="C294" s="96">
        <v>40043</v>
      </c>
      <c r="D294">
        <v>15750</v>
      </c>
      <c r="F294" t="s">
        <v>414</v>
      </c>
      <c r="G294" t="s">
        <v>831</v>
      </c>
      <c r="H294">
        <v>1</v>
      </c>
      <c r="I294" s="39">
        <f t="shared" si="72"/>
        <v>15750</v>
      </c>
      <c r="N294" s="183">
        <f t="shared" ca="1" si="67"/>
        <v>46204.530793402781</v>
      </c>
      <c r="O294" s="40">
        <f t="shared" ca="1" si="68"/>
        <v>16.87945205479452</v>
      </c>
      <c r="P294" s="39">
        <f t="shared" ca="1" si="69"/>
        <v>265851.36986301368</v>
      </c>
    </row>
    <row r="295" spans="1:16" x14ac:dyDescent="0.25">
      <c r="A295" t="s">
        <v>1340</v>
      </c>
      <c r="B295" t="s">
        <v>773</v>
      </c>
      <c r="C295" s="96">
        <v>40026</v>
      </c>
      <c r="D295">
        <v>47459</v>
      </c>
      <c r="F295" t="s">
        <v>414</v>
      </c>
      <c r="G295" t="s">
        <v>831</v>
      </c>
      <c r="H295">
        <v>1</v>
      </c>
      <c r="I295" s="39">
        <f t="shared" si="72"/>
        <v>47459</v>
      </c>
      <c r="N295" s="183">
        <f t="shared" ca="1" si="67"/>
        <v>46204.530793402781</v>
      </c>
      <c r="O295" s="40">
        <f t="shared" ca="1" si="68"/>
        <v>16.926027397260274</v>
      </c>
      <c r="P295" s="39">
        <f t="shared" ca="1" si="69"/>
        <v>803292.33424657537</v>
      </c>
    </row>
    <row r="296" spans="1:16" x14ac:dyDescent="0.25">
      <c r="A296" t="s">
        <v>1341</v>
      </c>
      <c r="B296" t="s">
        <v>774</v>
      </c>
      <c r="C296" s="96">
        <v>40118</v>
      </c>
      <c r="D296">
        <v>11700</v>
      </c>
      <c r="F296" t="s">
        <v>414</v>
      </c>
      <c r="G296" t="s">
        <v>831</v>
      </c>
      <c r="H296">
        <v>1</v>
      </c>
      <c r="I296" s="39">
        <f t="shared" si="72"/>
        <v>11700</v>
      </c>
      <c r="N296" s="183">
        <f t="shared" ca="1" si="67"/>
        <v>46204.530793402781</v>
      </c>
      <c r="O296" s="40">
        <f t="shared" ca="1" si="68"/>
        <v>16.673972602739727</v>
      </c>
      <c r="P296" s="39">
        <f t="shared" ca="1" si="69"/>
        <v>195085.4794520548</v>
      </c>
    </row>
    <row r="297" spans="1:16" x14ac:dyDescent="0.25">
      <c r="A297" t="s">
        <v>1342</v>
      </c>
      <c r="B297" t="s">
        <v>775</v>
      </c>
      <c r="C297" s="96">
        <v>40210</v>
      </c>
      <c r="D297">
        <v>4200</v>
      </c>
      <c r="F297" t="s">
        <v>414</v>
      </c>
      <c r="G297" t="s">
        <v>831</v>
      </c>
      <c r="H297">
        <v>1</v>
      </c>
      <c r="I297" s="39">
        <f t="shared" si="72"/>
        <v>4200</v>
      </c>
      <c r="N297" s="183">
        <f t="shared" ca="1" si="67"/>
        <v>46204.530793402781</v>
      </c>
      <c r="O297" s="40">
        <f t="shared" ca="1" si="68"/>
        <v>16.421917808219177</v>
      </c>
      <c r="P297" s="39">
        <f t="shared" ca="1" si="69"/>
        <v>68972.054794520547</v>
      </c>
    </row>
    <row r="298" spans="1:16" x14ac:dyDescent="0.25">
      <c r="A298" t="s">
        <v>1343</v>
      </c>
      <c r="B298" t="s">
        <v>779</v>
      </c>
      <c r="C298" s="96">
        <v>40848</v>
      </c>
      <c r="D298">
        <v>4500</v>
      </c>
      <c r="F298" t="s">
        <v>414</v>
      </c>
      <c r="G298" t="s">
        <v>831</v>
      </c>
      <c r="H298">
        <v>1</v>
      </c>
      <c r="I298" s="39">
        <f t="shared" si="72"/>
        <v>4500</v>
      </c>
      <c r="N298" s="183">
        <f t="shared" ca="1" si="67"/>
        <v>46204.530793402781</v>
      </c>
      <c r="O298" s="40">
        <f t="shared" ca="1" si="68"/>
        <v>14.673972602739726</v>
      </c>
      <c r="P298" s="39">
        <f t="shared" ca="1" si="69"/>
        <v>66032.876712328769</v>
      </c>
    </row>
    <row r="299" spans="1:16" x14ac:dyDescent="0.25">
      <c r="A299" t="s">
        <v>1344</v>
      </c>
      <c r="B299" t="s">
        <v>762</v>
      </c>
      <c r="C299" s="96">
        <v>39569</v>
      </c>
      <c r="D299">
        <v>14500</v>
      </c>
      <c r="F299" t="s">
        <v>414</v>
      </c>
      <c r="G299" t="s">
        <v>831</v>
      </c>
      <c r="H299">
        <v>1</v>
      </c>
      <c r="I299" s="39">
        <f t="shared" si="72"/>
        <v>14500</v>
      </c>
      <c r="N299" s="183">
        <f t="shared" ca="1" si="67"/>
        <v>46204.530793402781</v>
      </c>
      <c r="O299" s="40">
        <f t="shared" ca="1" si="68"/>
        <v>18.17808219178082</v>
      </c>
      <c r="P299" s="39">
        <f t="shared" ca="1" si="69"/>
        <v>263582.19178082189</v>
      </c>
    </row>
    <row r="300" spans="1:16" x14ac:dyDescent="0.25">
      <c r="A300" t="s">
        <v>1345</v>
      </c>
      <c r="B300" t="s">
        <v>737</v>
      </c>
      <c r="C300" s="96">
        <v>38322</v>
      </c>
      <c r="D300">
        <v>48600</v>
      </c>
      <c r="F300" s="176" t="s">
        <v>1032</v>
      </c>
      <c r="G300" t="s">
        <v>831</v>
      </c>
      <c r="H300">
        <v>1</v>
      </c>
      <c r="I300" s="39">
        <f t="shared" si="72"/>
        <v>48600</v>
      </c>
      <c r="N300" s="183">
        <f t="shared" ca="1" si="67"/>
        <v>46204.530793402781</v>
      </c>
      <c r="O300" s="40">
        <f t="shared" ca="1" si="68"/>
        <v>21.594520547945205</v>
      </c>
      <c r="P300" s="39">
        <f t="shared" ca="1" si="69"/>
        <v>1049493.6986301369</v>
      </c>
    </row>
    <row r="301" spans="1:16" x14ac:dyDescent="0.25">
      <c r="A301" t="s">
        <v>1346</v>
      </c>
      <c r="B301" t="s">
        <v>744</v>
      </c>
      <c r="C301" s="96">
        <v>39052</v>
      </c>
      <c r="D301">
        <v>6500</v>
      </c>
      <c r="F301" s="176" t="s">
        <v>1032</v>
      </c>
      <c r="G301" t="s">
        <v>831</v>
      </c>
      <c r="H301">
        <v>1</v>
      </c>
      <c r="I301" s="39">
        <f t="shared" si="72"/>
        <v>6500</v>
      </c>
      <c r="N301" s="183">
        <f t="shared" ca="1" si="67"/>
        <v>46204.530793402781</v>
      </c>
      <c r="O301" s="40">
        <f t="shared" ca="1" si="68"/>
        <v>19.594520547945205</v>
      </c>
      <c r="P301" s="39">
        <f t="shared" ca="1" si="69"/>
        <v>127364.38356164383</v>
      </c>
    </row>
    <row r="302" spans="1:16" x14ac:dyDescent="0.25">
      <c r="A302" t="s">
        <v>1347</v>
      </c>
      <c r="B302" t="s">
        <v>745</v>
      </c>
      <c r="C302" s="96">
        <v>39052</v>
      </c>
      <c r="D302">
        <v>12500</v>
      </c>
      <c r="F302" s="176" t="s">
        <v>1032</v>
      </c>
      <c r="G302" t="s">
        <v>831</v>
      </c>
      <c r="H302">
        <v>1</v>
      </c>
      <c r="I302" s="39">
        <f t="shared" si="72"/>
        <v>12500</v>
      </c>
      <c r="N302" s="183">
        <f t="shared" ca="1" si="67"/>
        <v>46204.530793402781</v>
      </c>
      <c r="O302" s="40">
        <f t="shared" ca="1" si="68"/>
        <v>19.594520547945205</v>
      </c>
      <c r="P302" s="39">
        <f t="shared" ca="1" si="69"/>
        <v>244931.50684931508</v>
      </c>
    </row>
    <row r="303" spans="1:16" x14ac:dyDescent="0.25">
      <c r="A303" t="s">
        <v>1348</v>
      </c>
      <c r="B303" t="s">
        <v>746</v>
      </c>
      <c r="C303" s="96">
        <v>39052</v>
      </c>
      <c r="D303">
        <v>8000</v>
      </c>
      <c r="F303" s="176" t="s">
        <v>1032</v>
      </c>
      <c r="G303" t="s">
        <v>831</v>
      </c>
      <c r="H303">
        <v>1</v>
      </c>
      <c r="I303" s="39">
        <f t="shared" si="72"/>
        <v>8000</v>
      </c>
      <c r="N303" s="183">
        <f t="shared" ca="1" si="67"/>
        <v>46204.530793402781</v>
      </c>
      <c r="O303" s="40">
        <f t="shared" ca="1" si="68"/>
        <v>19.594520547945205</v>
      </c>
      <c r="P303" s="39">
        <f t="shared" ca="1" si="69"/>
        <v>156756.16438356164</v>
      </c>
    </row>
    <row r="304" spans="1:16" x14ac:dyDescent="0.25">
      <c r="A304" t="s">
        <v>1349</v>
      </c>
      <c r="B304" t="s">
        <v>747</v>
      </c>
      <c r="C304" s="96">
        <v>39052</v>
      </c>
      <c r="D304">
        <v>16200</v>
      </c>
      <c r="F304" s="176" t="s">
        <v>1032</v>
      </c>
      <c r="G304" t="s">
        <v>831</v>
      </c>
      <c r="H304">
        <v>1</v>
      </c>
      <c r="I304" s="39">
        <f t="shared" si="72"/>
        <v>16200</v>
      </c>
      <c r="N304" s="183">
        <f t="shared" ca="1" si="67"/>
        <v>46204.530793402781</v>
      </c>
      <c r="O304" s="40">
        <f t="shared" ca="1" si="68"/>
        <v>19.594520547945205</v>
      </c>
      <c r="P304" s="39">
        <f t="shared" ca="1" si="69"/>
        <v>317431.23287671234</v>
      </c>
    </row>
    <row r="305" spans="1:16" x14ac:dyDescent="0.25">
      <c r="A305" t="s">
        <v>1350</v>
      </c>
      <c r="B305" t="s">
        <v>748</v>
      </c>
      <c r="C305" s="96">
        <v>39052</v>
      </c>
      <c r="D305">
        <v>24200</v>
      </c>
      <c r="F305" s="176" t="s">
        <v>1032</v>
      </c>
      <c r="G305" t="s">
        <v>831</v>
      </c>
      <c r="H305">
        <v>1</v>
      </c>
      <c r="I305" s="39">
        <f t="shared" si="72"/>
        <v>24200</v>
      </c>
      <c r="N305" s="183">
        <f t="shared" ca="1" si="67"/>
        <v>46204.530793402781</v>
      </c>
      <c r="O305" s="40">
        <f t="shared" ca="1" si="68"/>
        <v>19.594520547945205</v>
      </c>
      <c r="P305" s="39">
        <f t="shared" ca="1" si="69"/>
        <v>474187.39726027398</v>
      </c>
    </row>
    <row r="306" spans="1:16" x14ac:dyDescent="0.25">
      <c r="A306" t="s">
        <v>1351</v>
      </c>
      <c r="B306" t="s">
        <v>749</v>
      </c>
      <c r="C306" s="96">
        <v>39052</v>
      </c>
      <c r="D306">
        <v>16200</v>
      </c>
      <c r="F306" s="176" t="s">
        <v>1032</v>
      </c>
      <c r="G306" t="s">
        <v>831</v>
      </c>
      <c r="H306">
        <v>1</v>
      </c>
      <c r="I306" s="39">
        <f t="shared" si="72"/>
        <v>16200</v>
      </c>
      <c r="N306" s="183">
        <f t="shared" ca="1" si="67"/>
        <v>46204.530793402781</v>
      </c>
      <c r="O306" s="40">
        <f t="shared" ca="1" si="68"/>
        <v>19.594520547945205</v>
      </c>
      <c r="P306" s="39">
        <f t="shared" ca="1" si="69"/>
        <v>317431.23287671234</v>
      </c>
    </row>
    <row r="307" spans="1:16" x14ac:dyDescent="0.25">
      <c r="A307" t="s">
        <v>1352</v>
      </c>
      <c r="B307" t="s">
        <v>750</v>
      </c>
      <c r="C307" s="96">
        <v>39326</v>
      </c>
      <c r="D307">
        <v>48000</v>
      </c>
      <c r="F307" s="176" t="s">
        <v>1032</v>
      </c>
      <c r="G307" t="s">
        <v>831</v>
      </c>
      <c r="H307">
        <v>1</v>
      </c>
      <c r="I307" s="39">
        <f t="shared" si="72"/>
        <v>48000</v>
      </c>
      <c r="N307" s="183">
        <f t="shared" ca="1" si="67"/>
        <v>46204.530793402781</v>
      </c>
      <c r="O307" s="40">
        <f t="shared" ca="1" si="68"/>
        <v>18.843835616438355</v>
      </c>
      <c r="P307" s="39">
        <f t="shared" ca="1" si="69"/>
        <v>904504.10958904098</v>
      </c>
    </row>
    <row r="308" spans="1:16" x14ac:dyDescent="0.25">
      <c r="A308" t="s">
        <v>1353</v>
      </c>
      <c r="B308" t="s">
        <v>751</v>
      </c>
      <c r="C308" s="96">
        <v>39326</v>
      </c>
      <c r="D308">
        <v>27800</v>
      </c>
      <c r="F308" s="176" t="s">
        <v>1032</v>
      </c>
      <c r="G308" t="s">
        <v>831</v>
      </c>
      <c r="H308">
        <v>1</v>
      </c>
      <c r="I308" s="39">
        <f t="shared" si="72"/>
        <v>27800</v>
      </c>
      <c r="N308" s="183">
        <f t="shared" ca="1" si="67"/>
        <v>46204.530793402781</v>
      </c>
      <c r="O308" s="40">
        <f t="shared" ca="1" si="68"/>
        <v>18.843835616438355</v>
      </c>
      <c r="P308" s="39">
        <f t="shared" ca="1" si="69"/>
        <v>523858.63013698626</v>
      </c>
    </row>
    <row r="309" spans="1:16" x14ac:dyDescent="0.25">
      <c r="A309" t="s">
        <v>1354</v>
      </c>
      <c r="B309" t="s">
        <v>752</v>
      </c>
      <c r="C309" s="96">
        <v>39326</v>
      </c>
      <c r="D309">
        <v>28000</v>
      </c>
      <c r="F309" s="176" t="s">
        <v>1032</v>
      </c>
      <c r="G309" t="s">
        <v>831</v>
      </c>
      <c r="H309">
        <v>1</v>
      </c>
      <c r="I309" s="39">
        <f t="shared" si="72"/>
        <v>28000</v>
      </c>
      <c r="N309" s="183">
        <f t="shared" ca="1" si="67"/>
        <v>46204.530793402781</v>
      </c>
      <c r="O309" s="40">
        <f t="shared" ca="1" si="68"/>
        <v>18.843835616438355</v>
      </c>
      <c r="P309" s="39">
        <f t="shared" ca="1" si="69"/>
        <v>527627.39726027392</v>
      </c>
    </row>
    <row r="310" spans="1:16" x14ac:dyDescent="0.25">
      <c r="A310" t="s">
        <v>1355</v>
      </c>
      <c r="B310" t="s">
        <v>738</v>
      </c>
      <c r="C310" s="96">
        <v>38322</v>
      </c>
      <c r="D310">
        <v>30500</v>
      </c>
      <c r="F310" s="176" t="s">
        <v>1032</v>
      </c>
      <c r="G310" t="s">
        <v>831</v>
      </c>
      <c r="H310">
        <v>1</v>
      </c>
      <c r="I310" s="39">
        <f t="shared" si="72"/>
        <v>30500</v>
      </c>
      <c r="N310" s="183">
        <f t="shared" ca="1" si="67"/>
        <v>46204.530793402781</v>
      </c>
      <c r="O310" s="40">
        <f t="shared" ca="1" si="68"/>
        <v>21.594520547945205</v>
      </c>
      <c r="P310" s="39">
        <f t="shared" ca="1" si="69"/>
        <v>658632.87671232875</v>
      </c>
    </row>
    <row r="311" spans="1:16" x14ac:dyDescent="0.25">
      <c r="A311" t="s">
        <v>1356</v>
      </c>
      <c r="B311" t="s">
        <v>754</v>
      </c>
      <c r="C311" s="96">
        <v>39479</v>
      </c>
      <c r="D311">
        <v>7300</v>
      </c>
      <c r="F311" s="176" t="s">
        <v>1032</v>
      </c>
      <c r="G311" t="s">
        <v>831</v>
      </c>
      <c r="H311">
        <v>1</v>
      </c>
      <c r="I311" s="39">
        <f t="shared" si="72"/>
        <v>7300</v>
      </c>
      <c r="N311" s="183">
        <f t="shared" ca="1" si="67"/>
        <v>46204.530793402781</v>
      </c>
      <c r="O311" s="40">
        <f t="shared" ca="1" si="68"/>
        <v>18.424657534246574</v>
      </c>
      <c r="P311" s="39">
        <f t="shared" ca="1" si="69"/>
        <v>134500</v>
      </c>
    </row>
    <row r="312" spans="1:16" x14ac:dyDescent="0.25">
      <c r="A312" t="s">
        <v>1357</v>
      </c>
      <c r="B312" t="s">
        <v>755</v>
      </c>
      <c r="C312" s="96">
        <v>39479</v>
      </c>
      <c r="D312">
        <v>2500</v>
      </c>
      <c r="F312" s="176" t="s">
        <v>1032</v>
      </c>
      <c r="G312" t="s">
        <v>831</v>
      </c>
      <c r="H312">
        <v>1</v>
      </c>
      <c r="I312" s="39">
        <f t="shared" si="72"/>
        <v>2500</v>
      </c>
      <c r="N312" s="183">
        <f t="shared" ca="1" si="67"/>
        <v>46204.530793402781</v>
      </c>
      <c r="O312" s="40">
        <f t="shared" ca="1" si="68"/>
        <v>18.424657534246574</v>
      </c>
      <c r="P312" s="39">
        <f t="shared" ca="1" si="69"/>
        <v>46061.643835616436</v>
      </c>
    </row>
    <row r="313" spans="1:16" x14ac:dyDescent="0.25">
      <c r="A313" t="s">
        <v>1358</v>
      </c>
      <c r="B313" t="s">
        <v>756</v>
      </c>
      <c r="C313" s="96">
        <v>39479</v>
      </c>
      <c r="D313">
        <v>3500</v>
      </c>
      <c r="F313" s="176" t="s">
        <v>1032</v>
      </c>
      <c r="G313" t="s">
        <v>831</v>
      </c>
      <c r="H313">
        <v>1</v>
      </c>
      <c r="I313" s="39">
        <f t="shared" si="72"/>
        <v>3500</v>
      </c>
      <c r="N313" s="183">
        <f t="shared" ca="1" si="67"/>
        <v>46204.530793402781</v>
      </c>
      <c r="O313" s="40">
        <f t="shared" ca="1" si="68"/>
        <v>18.424657534246574</v>
      </c>
      <c r="P313" s="39">
        <f t="shared" ca="1" si="69"/>
        <v>64486.301369863009</v>
      </c>
    </row>
    <row r="314" spans="1:16" x14ac:dyDescent="0.25">
      <c r="A314" t="s">
        <v>1359</v>
      </c>
      <c r="B314" t="s">
        <v>757</v>
      </c>
      <c r="C314" s="96">
        <v>39479</v>
      </c>
      <c r="D314">
        <v>6500</v>
      </c>
      <c r="F314" s="176" t="s">
        <v>1032</v>
      </c>
      <c r="G314" t="s">
        <v>831</v>
      </c>
      <c r="H314">
        <v>1</v>
      </c>
      <c r="I314" s="39">
        <f t="shared" si="72"/>
        <v>6500</v>
      </c>
      <c r="N314" s="183">
        <f t="shared" ca="1" si="67"/>
        <v>46204.530793402781</v>
      </c>
      <c r="O314" s="40">
        <f t="shared" ca="1" si="68"/>
        <v>18.424657534246574</v>
      </c>
      <c r="P314" s="39">
        <f t="shared" ca="1" si="69"/>
        <v>119760.27397260274</v>
      </c>
    </row>
    <row r="315" spans="1:16" x14ac:dyDescent="0.25">
      <c r="A315" t="s">
        <v>1360</v>
      </c>
      <c r="B315" t="s">
        <v>739</v>
      </c>
      <c r="C315" s="96">
        <v>38322</v>
      </c>
      <c r="D315">
        <v>48600</v>
      </c>
      <c r="F315" s="176" t="s">
        <v>1032</v>
      </c>
      <c r="G315" t="s">
        <v>831</v>
      </c>
      <c r="H315">
        <v>1</v>
      </c>
      <c r="I315" s="39">
        <f t="shared" si="72"/>
        <v>48600</v>
      </c>
      <c r="N315" s="183">
        <f t="shared" ca="1" si="67"/>
        <v>46204.530793402781</v>
      </c>
      <c r="O315" s="40">
        <f t="shared" ca="1" si="68"/>
        <v>21.594520547945205</v>
      </c>
      <c r="P315" s="39">
        <f t="shared" ca="1" si="69"/>
        <v>1049493.6986301369</v>
      </c>
    </row>
    <row r="316" spans="1:16" x14ac:dyDescent="0.25">
      <c r="A316" t="s">
        <v>1361</v>
      </c>
      <c r="B316" t="s">
        <v>782</v>
      </c>
      <c r="C316" s="96">
        <v>41760</v>
      </c>
      <c r="D316">
        <v>14500</v>
      </c>
      <c r="F316" t="s">
        <v>414</v>
      </c>
      <c r="G316" t="s">
        <v>831</v>
      </c>
      <c r="H316">
        <v>1</v>
      </c>
      <c r="I316" s="39">
        <f t="shared" si="72"/>
        <v>14500</v>
      </c>
      <c r="N316" s="183">
        <f t="shared" ca="1" si="67"/>
        <v>46204.530793402781</v>
      </c>
      <c r="O316" s="40">
        <f t="shared" ca="1" si="68"/>
        <v>12.175342465753424</v>
      </c>
      <c r="P316" s="39">
        <f t="shared" ca="1" si="69"/>
        <v>176542.46575342465</v>
      </c>
    </row>
    <row r="317" spans="1:16" x14ac:dyDescent="0.25">
      <c r="A317" t="s">
        <v>1362</v>
      </c>
      <c r="B317" t="s">
        <v>783</v>
      </c>
      <c r="C317" s="96">
        <v>41760</v>
      </c>
      <c r="D317">
        <v>3000</v>
      </c>
      <c r="F317" t="s">
        <v>414</v>
      </c>
      <c r="G317" t="s">
        <v>831</v>
      </c>
      <c r="H317">
        <v>1</v>
      </c>
      <c r="I317" s="39">
        <f t="shared" si="72"/>
        <v>3000</v>
      </c>
      <c r="N317" s="183">
        <f t="shared" ca="1" si="67"/>
        <v>46204.530793402781</v>
      </c>
      <c r="O317" s="40">
        <f t="shared" ca="1" si="68"/>
        <v>12.175342465753424</v>
      </c>
      <c r="P317" s="39">
        <f t="shared" ca="1" si="69"/>
        <v>36526.027397260274</v>
      </c>
    </row>
    <row r="318" spans="1:16" x14ac:dyDescent="0.25">
      <c r="A318" t="s">
        <v>1363</v>
      </c>
      <c r="B318" t="s">
        <v>740</v>
      </c>
      <c r="C318" s="96">
        <v>38322</v>
      </c>
      <c r="D318">
        <v>42500</v>
      </c>
      <c r="F318" s="176" t="s">
        <v>1032</v>
      </c>
      <c r="G318" t="s">
        <v>831</v>
      </c>
      <c r="H318">
        <v>1</v>
      </c>
      <c r="I318" s="39">
        <f t="shared" si="72"/>
        <v>42500</v>
      </c>
      <c r="N318" s="183">
        <f t="shared" ca="1" si="67"/>
        <v>46204.530793402781</v>
      </c>
      <c r="O318" s="40">
        <f t="shared" ca="1" si="68"/>
        <v>21.594520547945205</v>
      </c>
      <c r="P318" s="39">
        <f t="shared" ca="1" si="69"/>
        <v>917767.12328767125</v>
      </c>
    </row>
    <row r="319" spans="1:16" x14ac:dyDescent="0.25">
      <c r="A319" t="s">
        <v>1364</v>
      </c>
      <c r="B319" t="s">
        <v>741</v>
      </c>
      <c r="C319" s="96">
        <v>38322</v>
      </c>
      <c r="D319">
        <v>35000</v>
      </c>
      <c r="F319" s="176" t="s">
        <v>1032</v>
      </c>
      <c r="G319" t="s">
        <v>831</v>
      </c>
      <c r="H319">
        <v>1</v>
      </c>
      <c r="I319" s="39">
        <f t="shared" si="72"/>
        <v>35000</v>
      </c>
      <c r="N319" s="183">
        <f t="shared" ca="1" si="67"/>
        <v>46204.530793402781</v>
      </c>
      <c r="O319" s="40">
        <f t="shared" ca="1" si="68"/>
        <v>21.594520547945205</v>
      </c>
      <c r="P319" s="39">
        <f t="shared" ca="1" si="69"/>
        <v>755808.21917808219</v>
      </c>
    </row>
    <row r="320" spans="1:16" x14ac:dyDescent="0.25">
      <c r="A320" t="s">
        <v>1365</v>
      </c>
      <c r="B320" t="s">
        <v>742</v>
      </c>
      <c r="C320" s="96">
        <v>38322</v>
      </c>
      <c r="D320">
        <v>32500</v>
      </c>
      <c r="F320" s="176" t="s">
        <v>1032</v>
      </c>
      <c r="G320" t="s">
        <v>831</v>
      </c>
      <c r="H320">
        <v>1</v>
      </c>
      <c r="I320" s="39">
        <f t="shared" si="72"/>
        <v>32500</v>
      </c>
      <c r="N320" s="183">
        <f t="shared" ca="1" si="67"/>
        <v>46204.530793402781</v>
      </c>
      <c r="O320" s="40">
        <f t="shared" ca="1" si="68"/>
        <v>21.594520547945205</v>
      </c>
      <c r="P320" s="39">
        <f t="shared" ca="1" si="69"/>
        <v>701821.91780821921</v>
      </c>
    </row>
    <row r="321" spans="1:19" x14ac:dyDescent="0.25">
      <c r="A321" t="s">
        <v>1366</v>
      </c>
      <c r="B321" t="s">
        <v>732</v>
      </c>
      <c r="C321" s="96">
        <v>42979</v>
      </c>
      <c r="D321">
        <v>28989</v>
      </c>
      <c r="F321" s="176" t="s">
        <v>1032</v>
      </c>
      <c r="G321" t="s">
        <v>831</v>
      </c>
      <c r="H321">
        <v>1</v>
      </c>
      <c r="I321" s="39">
        <f t="shared" si="72"/>
        <v>28989</v>
      </c>
      <c r="N321" s="183">
        <f t="shared" ca="1" si="67"/>
        <v>46204.530793402781</v>
      </c>
      <c r="O321" s="40">
        <f t="shared" ca="1" si="68"/>
        <v>8.8356164383561637</v>
      </c>
      <c r="P321" s="39">
        <f t="shared" ca="1" si="69"/>
        <v>256135.68493150684</v>
      </c>
    </row>
    <row r="322" spans="1:19" x14ac:dyDescent="0.25">
      <c r="A322" s="176" t="s">
        <v>1028</v>
      </c>
      <c r="B322" s="176" t="s">
        <v>1029</v>
      </c>
      <c r="C322" s="177">
        <v>44531</v>
      </c>
      <c r="D322" s="178">
        <v>22043</v>
      </c>
      <c r="I322" s="178">
        <v>22043</v>
      </c>
      <c r="N322" s="183">
        <f t="shared" ca="1" si="67"/>
        <v>46204.530793402781</v>
      </c>
      <c r="O322" s="40">
        <f t="shared" ca="1" si="68"/>
        <v>4.5835616438356164</v>
      </c>
      <c r="P322" s="39">
        <f t="shared" ca="1" si="69"/>
        <v>101035.44931506849</v>
      </c>
    </row>
    <row r="323" spans="1:19" x14ac:dyDescent="0.25">
      <c r="A323" s="176"/>
      <c r="B323" s="176"/>
      <c r="C323" s="177"/>
      <c r="D323" s="178"/>
      <c r="I323" s="178"/>
    </row>
    <row r="324" spans="1:19" x14ac:dyDescent="0.25">
      <c r="A324" s="176"/>
      <c r="B324" s="176"/>
      <c r="C324" s="177"/>
      <c r="D324" s="178"/>
      <c r="I324" s="178"/>
    </row>
    <row r="325" spans="1:19" x14ac:dyDescent="0.25">
      <c r="A325" s="176"/>
      <c r="B325" s="176"/>
      <c r="C325" s="177"/>
      <c r="D325" s="178"/>
      <c r="G325" t="s">
        <v>1040</v>
      </c>
      <c r="H325" t="s">
        <v>497</v>
      </c>
      <c r="I325" s="178">
        <f>SUM(I279:I322)</f>
        <v>859413</v>
      </c>
    </row>
    <row r="326" spans="1:19" x14ac:dyDescent="0.25">
      <c r="A326" s="176"/>
      <c r="B326" s="176"/>
      <c r="C326" s="177"/>
      <c r="D326" s="178"/>
      <c r="G326">
        <v>68179.41</v>
      </c>
      <c r="I326" s="178"/>
      <c r="N326" s="183"/>
    </row>
    <row r="327" spans="1:19" x14ac:dyDescent="0.25">
      <c r="A327" s="176" t="s">
        <v>1032</v>
      </c>
      <c r="B327" s="176" t="s">
        <v>1367</v>
      </c>
      <c r="C327" s="177">
        <v>44621</v>
      </c>
      <c r="E327" s="178">
        <v>180000</v>
      </c>
      <c r="G327">
        <f>+G326/3</f>
        <v>22726.47</v>
      </c>
      <c r="H327">
        <f>+I325/3</f>
        <v>286471</v>
      </c>
      <c r="I327" s="178">
        <f>+E327+H327</f>
        <v>466471</v>
      </c>
      <c r="N327" s="183">
        <f t="shared" ref="N327:N329" ca="1" si="73">NOW()</f>
        <v>46204.530793402781</v>
      </c>
      <c r="O327" s="40">
        <f t="shared" ref="O327:O328" ca="1" si="74">_xlfn.DAYS(N327,C327)/365</f>
        <v>4.3369863013698629</v>
      </c>
      <c r="P327" s="39">
        <f ca="1">+O327*G327</f>
        <v>98564.389068493154</v>
      </c>
    </row>
    <row r="328" spans="1:19" x14ac:dyDescent="0.25">
      <c r="A328" s="176" t="s">
        <v>1036</v>
      </c>
      <c r="B328" s="176" t="s">
        <v>1368</v>
      </c>
      <c r="C328" s="177">
        <v>44621</v>
      </c>
      <c r="E328" s="178">
        <v>120000</v>
      </c>
      <c r="G328">
        <f>+G327</f>
        <v>22726.47</v>
      </c>
      <c r="H328">
        <f>+H327</f>
        <v>286471</v>
      </c>
      <c r="I328" s="178">
        <f t="shared" ref="I328:I329" si="75">+E328+H328</f>
        <v>406471</v>
      </c>
      <c r="N328" s="183">
        <f t="shared" ca="1" si="73"/>
        <v>46204.530793402781</v>
      </c>
      <c r="O328" s="40">
        <f t="shared" ca="1" si="74"/>
        <v>4.3369863013698629</v>
      </c>
      <c r="P328" s="39">
        <f t="shared" ref="P328:P329" ca="1" si="76">+O328*G328</f>
        <v>98564.389068493154</v>
      </c>
    </row>
    <row r="329" spans="1:19" x14ac:dyDescent="0.25">
      <c r="A329" s="176" t="s">
        <v>1037</v>
      </c>
      <c r="B329" s="176" t="s">
        <v>1369</v>
      </c>
      <c r="C329" s="177">
        <v>44621</v>
      </c>
      <c r="D329" s="178">
        <v>468179.41</v>
      </c>
      <c r="E329">
        <v>79800</v>
      </c>
      <c r="G329">
        <f>+G328</f>
        <v>22726.47</v>
      </c>
      <c r="H329">
        <f>+H328</f>
        <v>286471</v>
      </c>
      <c r="I329" s="178">
        <f t="shared" si="75"/>
        <v>366271</v>
      </c>
      <c r="N329" s="183">
        <f t="shared" ca="1" si="73"/>
        <v>46204.530793402781</v>
      </c>
      <c r="O329" s="40">
        <f t="shared" ref="O329" ca="1" si="77">_xlfn.DAYS(N329,C329)/365</f>
        <v>4.3369863013698629</v>
      </c>
      <c r="P329" s="39">
        <f t="shared" ca="1" si="76"/>
        <v>98564.389068493154</v>
      </c>
    </row>
    <row r="330" spans="1:19" x14ac:dyDescent="0.25">
      <c r="C330" s="127" t="s">
        <v>1033</v>
      </c>
      <c r="D330" s="58"/>
      <c r="E330" s="58"/>
      <c r="F330" s="58"/>
      <c r="G330" s="58"/>
      <c r="H330" s="58"/>
      <c r="I330" s="59">
        <f>SUM(I327:I329)</f>
        <v>1239213</v>
      </c>
      <c r="K330" s="39">
        <f>+I330</f>
        <v>1239213</v>
      </c>
      <c r="Q330" s="39">
        <v>1</v>
      </c>
      <c r="R330" s="39">
        <f ca="1">SUM(P279:P329)*Q330</f>
        <v>14902254.613780826</v>
      </c>
      <c r="S330" s="3">
        <f ca="1">+R330/$R$338</f>
        <v>2.7777266549767084E-2</v>
      </c>
    </row>
    <row r="334" spans="1:19" x14ac:dyDescent="0.25">
      <c r="A334" s="191" t="s">
        <v>1372</v>
      </c>
      <c r="B334" s="191" t="s">
        <v>1373</v>
      </c>
      <c r="C334" s="96">
        <v>44774</v>
      </c>
      <c r="D334">
        <v>1289500</v>
      </c>
      <c r="I334" s="39">
        <f>+D334</f>
        <v>1289500</v>
      </c>
      <c r="N334" s="183">
        <f t="shared" ref="N334" ca="1" si="78">NOW()</f>
        <v>46204.530793402781</v>
      </c>
      <c r="O334" s="40">
        <f t="shared" ref="O334" ca="1" si="79">_xlfn.DAYS(N334,C334)/365</f>
        <v>3.9178082191780823</v>
      </c>
      <c r="P334" s="39">
        <f ca="1">+O334*I334</f>
        <v>5052013.6986301374</v>
      </c>
    </row>
    <row r="335" spans="1:19" x14ac:dyDescent="0.25">
      <c r="N335" s="183"/>
    </row>
    <row r="336" spans="1:19" x14ac:dyDescent="0.25">
      <c r="C336" s="127" t="s">
        <v>1042</v>
      </c>
      <c r="D336" s="58"/>
      <c r="E336" s="58"/>
      <c r="F336" s="58"/>
      <c r="G336" s="58"/>
      <c r="H336" s="58"/>
      <c r="I336" s="59">
        <f>SUM(I334:I335)</f>
        <v>1289500</v>
      </c>
      <c r="K336" s="39">
        <f>+I336</f>
        <v>1289500</v>
      </c>
      <c r="Q336" s="39">
        <v>1</v>
      </c>
      <c r="R336" s="39">
        <f ca="1">SUM(P334:P335)*Q336</f>
        <v>5052013.6986301374</v>
      </c>
      <c r="S336" s="3">
        <f ca="1">+R336/$R$338</f>
        <v>9.4167718078144429E-3</v>
      </c>
    </row>
    <row r="338" spans="9:18" x14ac:dyDescent="0.25">
      <c r="I338" s="39" t="s">
        <v>453</v>
      </c>
      <c r="K338" s="39">
        <f>SUM(K5:K336)</f>
        <v>20503775.622000001</v>
      </c>
      <c r="O338" s="40" t="s">
        <v>1050</v>
      </c>
      <c r="R338" s="39">
        <f ca="1">SUM(R1:R336)</f>
        <v>536491039.78900272</v>
      </c>
    </row>
    <row r="340" spans="9:18" x14ac:dyDescent="0.25">
      <c r="I340" s="39" t="s">
        <v>1048</v>
      </c>
      <c r="K340" s="39">
        <f>+K338-I267</f>
        <v>19597192.200000003</v>
      </c>
    </row>
  </sheetData>
  <sortState xmlns:xlrd2="http://schemas.microsoft.com/office/spreadsheetml/2017/richdata2" ref="A138:I189">
    <sortCondition ref="F138:F189"/>
  </sortState>
  <phoneticPr fontId="3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AD1642"/>
  <sheetViews>
    <sheetView tabSelected="1" topLeftCell="H1" workbookViewId="0">
      <selection activeCell="Z2" sqref="Z2:AA4"/>
    </sheetView>
  </sheetViews>
  <sheetFormatPr defaultRowHeight="15" x14ac:dyDescent="0.25"/>
  <cols>
    <col min="1" max="1" width="19.42578125" bestFit="1" customWidth="1"/>
    <col min="2" max="2" width="20.7109375" bestFit="1" customWidth="1"/>
    <col min="3" max="3" width="15.7109375" bestFit="1" customWidth="1"/>
    <col min="4" max="4" width="16.7109375" style="40" bestFit="1" customWidth="1"/>
    <col min="7" max="7" width="28.42578125" bestFit="1" customWidth="1"/>
    <col min="8" max="8" width="26.42578125" bestFit="1" customWidth="1"/>
    <col min="10" max="10" width="9.140625" style="3"/>
    <col min="12" max="12" width="27" bestFit="1" customWidth="1"/>
    <col min="13" max="13" width="9.140625" style="3" bestFit="1" customWidth="1"/>
    <col min="14" max="14" width="13.42578125" customWidth="1"/>
    <col min="16" max="16" width="15" style="40" bestFit="1" customWidth="1"/>
    <col min="17" max="17" width="14.140625" style="29" bestFit="1" customWidth="1"/>
    <col min="18" max="18" width="9.140625" style="29"/>
    <col min="19" max="19" width="10.140625" style="29" customWidth="1"/>
    <col min="20" max="20" width="9.28515625" style="29" customWidth="1"/>
    <col min="21" max="21" width="9" style="29" customWidth="1"/>
    <col min="22" max="27" width="9.28515625" style="29" customWidth="1"/>
    <col min="28" max="28" width="10.140625" style="29" bestFit="1" customWidth="1"/>
    <col min="29" max="29" width="9.28515625" style="3" bestFit="1" customWidth="1"/>
    <col min="30" max="30" width="10.140625" style="29" bestFit="1" customWidth="1"/>
  </cols>
  <sheetData>
    <row r="1" spans="1:30" ht="15" customHeight="1" x14ac:dyDescent="0.25">
      <c r="A1" s="127" t="s">
        <v>471</v>
      </c>
      <c r="J1" s="3" t="s">
        <v>481</v>
      </c>
      <c r="L1" t="s">
        <v>369</v>
      </c>
      <c r="M1" s="3" t="s">
        <v>407</v>
      </c>
      <c r="P1" s="40" t="s">
        <v>479</v>
      </c>
      <c r="Q1" s="29" t="s">
        <v>482</v>
      </c>
      <c r="S1" s="30" t="s">
        <v>483</v>
      </c>
      <c r="T1" s="30" t="s">
        <v>484</v>
      </c>
      <c r="U1" s="30" t="s">
        <v>485</v>
      </c>
      <c r="V1" s="30" t="s">
        <v>486</v>
      </c>
      <c r="W1" s="30" t="s">
        <v>487</v>
      </c>
      <c r="X1" s="30" t="s">
        <v>488</v>
      </c>
      <c r="Y1" s="30" t="s">
        <v>489</v>
      </c>
      <c r="Z1" s="30" t="s">
        <v>490</v>
      </c>
      <c r="AA1" s="30" t="s">
        <v>491</v>
      </c>
      <c r="AB1" s="30" t="s">
        <v>453</v>
      </c>
      <c r="AC1" s="36" t="s">
        <v>481</v>
      </c>
      <c r="AD1" s="31" t="s">
        <v>480</v>
      </c>
    </row>
    <row r="2" spans="1:30" ht="15" customHeight="1" x14ac:dyDescent="0.25">
      <c r="A2" s="205" t="s">
        <v>1401</v>
      </c>
      <c r="B2" t="s">
        <v>1398</v>
      </c>
      <c r="C2" t="s">
        <v>1399</v>
      </c>
      <c r="D2">
        <v>7711115085081</v>
      </c>
      <c r="E2" t="s">
        <v>3</v>
      </c>
      <c r="F2" t="s">
        <v>4</v>
      </c>
      <c r="G2" t="s">
        <v>1066</v>
      </c>
      <c r="H2" s="6" t="s">
        <v>32</v>
      </c>
      <c r="I2">
        <v>72.849999999999994</v>
      </c>
      <c r="J2" s="3">
        <v>0.5</v>
      </c>
      <c r="K2" t="s">
        <v>446</v>
      </c>
      <c r="L2" s="2" t="s">
        <v>373</v>
      </c>
      <c r="M2" s="3">
        <v>0.45</v>
      </c>
      <c r="O2" t="s">
        <v>422</v>
      </c>
      <c r="P2" s="40">
        <f>+M2</f>
        <v>0.45</v>
      </c>
      <c r="Q2" s="29">
        <f>+$I$2*P2</f>
        <v>32.782499999999999</v>
      </c>
      <c r="S2" s="29">
        <f>+Q2*40*52</f>
        <v>68187.599999999991</v>
      </c>
      <c r="T2" s="29">
        <f>+S2*0.0833</f>
        <v>5680.0270799999989</v>
      </c>
      <c r="U2" s="29">
        <f>+T2</f>
        <v>5680.0270799999989</v>
      </c>
      <c r="V2" s="29">
        <f>+S2*0.01</f>
        <v>681.87599999999998</v>
      </c>
      <c r="W2" s="29">
        <f>+S2*0.083</f>
        <v>5659.5707999999995</v>
      </c>
      <c r="X2" s="29">
        <f>+S2*0.0018</f>
        <v>122.73767999999998</v>
      </c>
      <c r="Y2" s="29">
        <f t="shared" ref="Y2:Y4" si="0">0.71*52*P2</f>
        <v>16.614000000000001</v>
      </c>
      <c r="Z2" s="29">
        <f t="shared" ref="Z2:Z4" si="1">172*12*P2</f>
        <v>928.80000000000007</v>
      </c>
      <c r="AA2" s="29">
        <f>+(S2+T2+U2)*0.01</f>
        <v>795.4765415999999</v>
      </c>
      <c r="AB2" s="29">
        <f>SUM(S2:AA2)</f>
        <v>87752.729181600007</v>
      </c>
      <c r="AC2" s="3">
        <f>IF(+J2&gt;0,J2,AC1)</f>
        <v>0.5</v>
      </c>
      <c r="AD2" s="29">
        <f>+AB2/AC2</f>
        <v>175505.45836320001</v>
      </c>
    </row>
    <row r="3" spans="1:30" ht="15" customHeight="1" x14ac:dyDescent="0.25">
      <c r="H3" s="6"/>
      <c r="K3" t="s">
        <v>446</v>
      </c>
      <c r="L3" s="2" t="s">
        <v>370</v>
      </c>
      <c r="M3" s="3">
        <v>0.45</v>
      </c>
      <c r="O3" t="s">
        <v>420</v>
      </c>
      <c r="P3" s="40">
        <f t="shared" ref="P3:P10" si="2">+M3</f>
        <v>0.45</v>
      </c>
      <c r="Q3" s="29">
        <f t="shared" ref="Q3:Q4" si="3">+$I$2*P3</f>
        <v>32.782499999999999</v>
      </c>
      <c r="S3" s="29">
        <f t="shared" ref="S3:S4" si="4">+Q3*40*52</f>
        <v>68187.599999999991</v>
      </c>
      <c r="T3" s="29">
        <f t="shared" ref="T3:T10" si="5">+S3*0.0833</f>
        <v>5680.0270799999989</v>
      </c>
      <c r="U3" s="29">
        <f t="shared" ref="U3:U10" si="6">+T3</f>
        <v>5680.0270799999989</v>
      </c>
      <c r="V3" s="29">
        <f t="shared" ref="V3:V4" si="7">+S3*0.01</f>
        <v>681.87599999999998</v>
      </c>
      <c r="W3" s="29">
        <f t="shared" ref="W3:W12" si="8">+S3*0.083</f>
        <v>5659.5707999999995</v>
      </c>
      <c r="X3" s="29">
        <f t="shared" ref="X3:X4" si="9">+S3*0.0018</f>
        <v>122.73767999999998</v>
      </c>
      <c r="Y3" s="29">
        <f t="shared" si="0"/>
        <v>16.614000000000001</v>
      </c>
      <c r="Z3" s="29">
        <f t="shared" si="1"/>
        <v>928.80000000000007</v>
      </c>
      <c r="AA3" s="29">
        <f t="shared" ref="AA3:AA4" si="10">+(S3+T3+U3)*0.01</f>
        <v>795.4765415999999</v>
      </c>
      <c r="AB3" s="29">
        <f t="shared" ref="AB3:AB4" si="11">SUM(S3:AA3)</f>
        <v>87752.729181600007</v>
      </c>
      <c r="AC3" s="3">
        <f t="shared" ref="AC3:AC4" si="12">IF(+J3&gt;0,J3,AC2)</f>
        <v>0.5</v>
      </c>
      <c r="AD3" s="29">
        <f t="shared" ref="AD3:AD4" si="13">+AB3/AC3</f>
        <v>175505.45836320001</v>
      </c>
    </row>
    <row r="4" spans="1:30" ht="15" customHeight="1" x14ac:dyDescent="0.25">
      <c r="H4" s="6"/>
      <c r="K4" t="s">
        <v>446</v>
      </c>
      <c r="L4" s="1" t="s">
        <v>372</v>
      </c>
      <c r="M4" s="3">
        <v>0.1</v>
      </c>
      <c r="O4" t="s">
        <v>408</v>
      </c>
      <c r="P4" s="40">
        <f t="shared" si="2"/>
        <v>0.1</v>
      </c>
      <c r="Q4" s="29">
        <f t="shared" si="3"/>
        <v>7.2850000000000001</v>
      </c>
      <c r="S4" s="29">
        <f t="shared" si="4"/>
        <v>15152.8</v>
      </c>
      <c r="T4" s="29">
        <f t="shared" si="5"/>
        <v>1262.2282399999999</v>
      </c>
      <c r="U4" s="29">
        <f t="shared" si="6"/>
        <v>1262.2282399999999</v>
      </c>
      <c r="V4" s="29">
        <f t="shared" si="7"/>
        <v>151.52799999999999</v>
      </c>
      <c r="W4" s="29">
        <f t="shared" si="8"/>
        <v>1257.6823999999999</v>
      </c>
      <c r="X4" s="29">
        <f t="shared" si="9"/>
        <v>27.275039999999997</v>
      </c>
      <c r="Y4" s="29">
        <f t="shared" si="0"/>
        <v>3.6920000000000002</v>
      </c>
      <c r="Z4" s="29">
        <f t="shared" si="1"/>
        <v>206.4</v>
      </c>
      <c r="AA4" s="29">
        <f t="shared" si="10"/>
        <v>176.7725648</v>
      </c>
      <c r="AB4" s="29">
        <f t="shared" si="11"/>
        <v>19500.606484800002</v>
      </c>
      <c r="AC4" s="3">
        <f t="shared" si="12"/>
        <v>0.5</v>
      </c>
      <c r="AD4" s="29">
        <f t="shared" si="13"/>
        <v>39001.212969600005</v>
      </c>
    </row>
    <row r="5" spans="1:30" ht="15" customHeight="1" x14ac:dyDescent="0.25">
      <c r="H5" s="6"/>
      <c r="L5" s="1"/>
    </row>
    <row r="6" spans="1:30" ht="15" customHeight="1" x14ac:dyDescent="0.25">
      <c r="A6" s="205" t="s">
        <v>318</v>
      </c>
      <c r="B6" t="s">
        <v>319</v>
      </c>
      <c r="C6" t="s">
        <v>320</v>
      </c>
      <c r="E6" t="s">
        <v>3</v>
      </c>
      <c r="F6" t="s">
        <v>4</v>
      </c>
      <c r="G6" t="s">
        <v>1067</v>
      </c>
      <c r="H6" s="6" t="s">
        <v>32</v>
      </c>
      <c r="I6">
        <v>109.2</v>
      </c>
      <c r="J6" s="3">
        <v>0.75</v>
      </c>
      <c r="K6" t="s">
        <v>446</v>
      </c>
      <c r="L6" s="2" t="s">
        <v>373</v>
      </c>
      <c r="M6" s="3">
        <v>0.7</v>
      </c>
      <c r="O6" t="s">
        <v>422</v>
      </c>
      <c r="P6" s="40">
        <f t="shared" si="2"/>
        <v>0.7</v>
      </c>
      <c r="Q6" s="29">
        <f>+I6*P6</f>
        <v>76.44</v>
      </c>
      <c r="S6" s="29">
        <f t="shared" ref="S6:S7" si="14">+Q6*40*52</f>
        <v>158995.19999999998</v>
      </c>
      <c r="T6" s="29">
        <f t="shared" si="5"/>
        <v>13244.300159999999</v>
      </c>
      <c r="U6" s="29">
        <f t="shared" si="6"/>
        <v>13244.300159999999</v>
      </c>
      <c r="V6" s="29">
        <f t="shared" ref="V6:V7" si="15">+S6*0.01</f>
        <v>1589.9519999999998</v>
      </c>
      <c r="W6" s="29">
        <f t="shared" si="8"/>
        <v>13196.6016</v>
      </c>
      <c r="X6" s="29">
        <f t="shared" ref="X6:X7" si="16">+S6*0.0018</f>
        <v>286.19135999999997</v>
      </c>
      <c r="Y6" s="29">
        <f t="shared" ref="Y6:Y7" si="17">0.71*52*P6</f>
        <v>25.844000000000001</v>
      </c>
      <c r="Z6" s="29">
        <f t="shared" ref="Z6:Z7" si="18">172*12*P6</f>
        <v>1444.8</v>
      </c>
      <c r="AA6" s="29">
        <f t="shared" ref="AA6:AA7" si="19">+(S6+T6+U6)*0.01</f>
        <v>1854.8380031999998</v>
      </c>
      <c r="AB6" s="29">
        <f t="shared" ref="AB6:AB7" si="20">SUM(S6:AA6)</f>
        <v>203882.02728319998</v>
      </c>
      <c r="AC6" s="3">
        <f t="shared" ref="AC6:AC7" si="21">IF(+J6&gt;0,J6,AC5)</f>
        <v>0.75</v>
      </c>
      <c r="AD6" s="29">
        <f t="shared" ref="AD6:AD7" si="22">+AB6/AC6</f>
        <v>271842.70304426661</v>
      </c>
    </row>
    <row r="7" spans="1:30" ht="15" customHeight="1" x14ac:dyDescent="0.25">
      <c r="H7" s="6"/>
      <c r="K7" t="s">
        <v>446</v>
      </c>
      <c r="L7" s="2" t="s">
        <v>370</v>
      </c>
      <c r="M7" s="3">
        <v>0.3</v>
      </c>
      <c r="O7" t="s">
        <v>420</v>
      </c>
      <c r="P7" s="40">
        <f t="shared" ref="P7" si="23">+M7</f>
        <v>0.3</v>
      </c>
      <c r="Q7" s="29">
        <f>+$I$6*P7</f>
        <v>32.76</v>
      </c>
      <c r="S7" s="29">
        <f t="shared" si="14"/>
        <v>68140.799999999988</v>
      </c>
      <c r="T7" s="29">
        <f t="shared" ref="T7" si="24">+S7*0.0833</f>
        <v>5676.128639999999</v>
      </c>
      <c r="U7" s="29">
        <f t="shared" ref="U7" si="25">+T7</f>
        <v>5676.128639999999</v>
      </c>
      <c r="V7" s="29">
        <f t="shared" si="15"/>
        <v>681.4079999999999</v>
      </c>
      <c r="W7" s="29">
        <f t="shared" si="8"/>
        <v>5655.6863999999996</v>
      </c>
      <c r="X7" s="29">
        <f t="shared" si="16"/>
        <v>122.65343999999997</v>
      </c>
      <c r="Y7" s="29">
        <f t="shared" si="17"/>
        <v>11.076000000000001</v>
      </c>
      <c r="Z7" s="29">
        <f t="shared" si="18"/>
        <v>619.19999999999993</v>
      </c>
      <c r="AA7" s="29">
        <f t="shared" si="19"/>
        <v>794.93057279999982</v>
      </c>
      <c r="AB7" s="29">
        <f t="shared" si="20"/>
        <v>87378.011692799977</v>
      </c>
      <c r="AC7" s="3">
        <f t="shared" si="21"/>
        <v>0.75</v>
      </c>
      <c r="AD7" s="29">
        <f t="shared" si="22"/>
        <v>116504.01559039997</v>
      </c>
    </row>
    <row r="8" spans="1:30" ht="15" customHeight="1" x14ac:dyDescent="0.25">
      <c r="H8" s="6"/>
      <c r="L8" s="2"/>
    </row>
    <row r="9" spans="1:30" ht="15" customHeight="1" x14ac:dyDescent="0.25">
      <c r="A9" s="205" t="s">
        <v>71</v>
      </c>
      <c r="B9" t="s">
        <v>72</v>
      </c>
      <c r="C9" t="s">
        <v>73</v>
      </c>
      <c r="E9" t="s">
        <v>68</v>
      </c>
      <c r="F9" t="s">
        <v>4</v>
      </c>
      <c r="G9" t="s">
        <v>1059</v>
      </c>
      <c r="H9" s="6" t="s">
        <v>32</v>
      </c>
      <c r="I9">
        <v>89.52</v>
      </c>
      <c r="J9" s="3">
        <v>0.5</v>
      </c>
      <c r="K9" t="s">
        <v>446</v>
      </c>
      <c r="L9" s="1" t="s">
        <v>374</v>
      </c>
      <c r="M9" s="3">
        <v>0.3</v>
      </c>
      <c r="O9" t="s">
        <v>840</v>
      </c>
      <c r="P9" s="40">
        <f t="shared" si="2"/>
        <v>0.3</v>
      </c>
      <c r="Q9" s="29">
        <f>+$I$9*P9</f>
        <v>26.855999999999998</v>
      </c>
      <c r="S9" s="29">
        <f t="shared" ref="S9:S12" si="26">+Q9*40*52</f>
        <v>55860.480000000003</v>
      </c>
      <c r="T9" s="29">
        <f t="shared" si="5"/>
        <v>4653.1779839999999</v>
      </c>
      <c r="U9" s="29">
        <f t="shared" si="6"/>
        <v>4653.1779839999999</v>
      </c>
      <c r="V9" s="29">
        <f t="shared" ref="V9:V12" si="27">+S9*0.01</f>
        <v>558.60480000000007</v>
      </c>
      <c r="W9" s="29">
        <f t="shared" si="8"/>
        <v>4636.4198400000005</v>
      </c>
      <c r="X9" s="29">
        <f t="shared" ref="X9:X12" si="28">+S9*0.0018</f>
        <v>100.54886400000001</v>
      </c>
      <c r="Y9" s="29">
        <f t="shared" ref="Y9:Y12" si="29">0.71*52*P9</f>
        <v>11.076000000000001</v>
      </c>
      <c r="Z9" s="29">
        <f t="shared" ref="Z9:Z12" si="30">172*12*P9</f>
        <v>619.19999999999993</v>
      </c>
      <c r="AA9" s="29">
        <f t="shared" ref="AA9:AA12" si="31">+(S9+T9+U9)*0.01</f>
        <v>651.66835968000009</v>
      </c>
      <c r="AB9" s="29">
        <f t="shared" ref="AB9:AB12" si="32">SUM(S9:AA9)</f>
        <v>71744.353831679997</v>
      </c>
      <c r="AC9" s="3">
        <f t="shared" ref="AC9:AC11" si="33">IF(+J9&gt;0,J9,AC8)</f>
        <v>0.5</v>
      </c>
      <c r="AD9" s="29">
        <f t="shared" ref="AD9:AD12" si="34">+AB9/AC9</f>
        <v>143488.70766335999</v>
      </c>
    </row>
    <row r="10" spans="1:30" ht="15" customHeight="1" x14ac:dyDescent="0.25">
      <c r="H10" s="6"/>
      <c r="K10" t="s">
        <v>446</v>
      </c>
      <c r="L10" s="2" t="s">
        <v>373</v>
      </c>
      <c r="M10" s="3">
        <v>0.3</v>
      </c>
      <c r="O10" t="s">
        <v>422</v>
      </c>
      <c r="P10" s="40">
        <f t="shared" si="2"/>
        <v>0.3</v>
      </c>
      <c r="Q10" s="29">
        <f t="shared" ref="Q10:Q12" si="35">+$I$9*P10</f>
        <v>26.855999999999998</v>
      </c>
      <c r="S10" s="29">
        <f t="shared" si="26"/>
        <v>55860.480000000003</v>
      </c>
      <c r="T10" s="29">
        <f t="shared" si="5"/>
        <v>4653.1779839999999</v>
      </c>
      <c r="U10" s="29">
        <f t="shared" si="6"/>
        <v>4653.1779839999999</v>
      </c>
      <c r="V10" s="29">
        <f t="shared" si="27"/>
        <v>558.60480000000007</v>
      </c>
      <c r="W10" s="29">
        <f t="shared" si="8"/>
        <v>4636.4198400000005</v>
      </c>
      <c r="X10" s="29">
        <f t="shared" si="28"/>
        <v>100.54886400000001</v>
      </c>
      <c r="Y10" s="29">
        <f t="shared" si="29"/>
        <v>11.076000000000001</v>
      </c>
      <c r="Z10" s="29">
        <f t="shared" si="30"/>
        <v>619.19999999999993</v>
      </c>
      <c r="AA10" s="29">
        <f t="shared" si="31"/>
        <v>651.66835968000009</v>
      </c>
      <c r="AB10" s="29">
        <f t="shared" si="32"/>
        <v>71744.353831679997</v>
      </c>
      <c r="AC10" s="3">
        <f t="shared" si="33"/>
        <v>0.5</v>
      </c>
      <c r="AD10" s="29">
        <f t="shared" si="34"/>
        <v>143488.70766335999</v>
      </c>
    </row>
    <row r="11" spans="1:30" ht="15" customHeight="1" x14ac:dyDescent="0.25">
      <c r="H11" s="6"/>
      <c r="K11" t="s">
        <v>446</v>
      </c>
      <c r="L11" s="1" t="s">
        <v>372</v>
      </c>
      <c r="M11" s="3">
        <v>0.1</v>
      </c>
      <c r="O11" t="s">
        <v>408</v>
      </c>
      <c r="P11" s="40">
        <f t="shared" ref="P11" si="36">+M11</f>
        <v>0.1</v>
      </c>
      <c r="Q11" s="29">
        <f t="shared" si="35"/>
        <v>8.952</v>
      </c>
      <c r="S11" s="29">
        <f t="shared" si="26"/>
        <v>18620.16</v>
      </c>
      <c r="T11" s="29">
        <f t="shared" ref="T11:T12" si="37">+S11*0.0833</f>
        <v>1551.0593280000001</v>
      </c>
      <c r="U11" s="29">
        <f t="shared" ref="U11:U12" si="38">+T11</f>
        <v>1551.0593280000001</v>
      </c>
      <c r="V11" s="29">
        <f t="shared" si="27"/>
        <v>186.20160000000001</v>
      </c>
      <c r="W11" s="29">
        <f t="shared" si="8"/>
        <v>1545.4732800000002</v>
      </c>
      <c r="X11" s="29">
        <f t="shared" si="28"/>
        <v>33.516287999999996</v>
      </c>
      <c r="Y11" s="29">
        <f t="shared" si="29"/>
        <v>3.6920000000000002</v>
      </c>
      <c r="Z11" s="29">
        <f t="shared" si="30"/>
        <v>206.4</v>
      </c>
      <c r="AA11" s="29">
        <f t="shared" si="31"/>
        <v>217.22278656</v>
      </c>
      <c r="AB11" s="29">
        <f t="shared" si="32"/>
        <v>23914.78461056</v>
      </c>
      <c r="AC11" s="3">
        <f t="shared" si="33"/>
        <v>0.5</v>
      </c>
      <c r="AD11" s="29">
        <f t="shared" si="34"/>
        <v>47829.56922112</v>
      </c>
    </row>
    <row r="12" spans="1:30" ht="15" customHeight="1" x14ac:dyDescent="0.25">
      <c r="H12" s="6"/>
      <c r="K12" t="s">
        <v>446</v>
      </c>
      <c r="L12" s="1" t="s">
        <v>375</v>
      </c>
      <c r="M12" s="3">
        <v>0.3</v>
      </c>
      <c r="O12" t="s">
        <v>454</v>
      </c>
      <c r="P12" s="40">
        <f>+M12</f>
        <v>0.3</v>
      </c>
      <c r="Q12" s="29">
        <f t="shared" si="35"/>
        <v>26.855999999999998</v>
      </c>
      <c r="S12" s="29">
        <f t="shared" si="26"/>
        <v>55860.480000000003</v>
      </c>
      <c r="T12" s="29">
        <f t="shared" si="37"/>
        <v>4653.1779839999999</v>
      </c>
      <c r="U12" s="29">
        <f t="shared" si="38"/>
        <v>4653.1779839999999</v>
      </c>
      <c r="V12" s="29">
        <f t="shared" si="27"/>
        <v>558.60480000000007</v>
      </c>
      <c r="W12" s="29">
        <f t="shared" si="8"/>
        <v>4636.4198400000005</v>
      </c>
      <c r="X12" s="29">
        <f t="shared" si="28"/>
        <v>100.54886400000001</v>
      </c>
      <c r="Y12" s="29">
        <f t="shared" si="29"/>
        <v>11.076000000000001</v>
      </c>
      <c r="Z12" s="29">
        <f t="shared" si="30"/>
        <v>619.19999999999993</v>
      </c>
      <c r="AA12" s="29">
        <f t="shared" si="31"/>
        <v>651.66835968000009</v>
      </c>
      <c r="AB12" s="29">
        <f t="shared" si="32"/>
        <v>71744.353831679997</v>
      </c>
      <c r="AC12" s="3">
        <f>IF(+J12&gt;0,J12,AC10)</f>
        <v>0.5</v>
      </c>
      <c r="AD12" s="29">
        <f t="shared" si="34"/>
        <v>143488.70766335999</v>
      </c>
    </row>
    <row r="13" spans="1:30" ht="15" customHeight="1" x14ac:dyDescent="0.25">
      <c r="H13" s="6"/>
      <c r="L13" s="2"/>
    </row>
    <row r="14" spans="1:30" ht="15" customHeight="1" x14ac:dyDescent="0.25">
      <c r="H14" s="6"/>
      <c r="L14" s="2"/>
    </row>
    <row r="15" spans="1:30" ht="15" customHeight="1" x14ac:dyDescent="0.25">
      <c r="A15" s="205" t="s">
        <v>127</v>
      </c>
      <c r="B15" t="s">
        <v>128</v>
      </c>
      <c r="C15" t="s">
        <v>129</v>
      </c>
      <c r="E15" t="s">
        <v>3</v>
      </c>
      <c r="F15" t="s">
        <v>4</v>
      </c>
      <c r="G15" t="s">
        <v>1068</v>
      </c>
      <c r="H15" s="6" t="s">
        <v>32</v>
      </c>
      <c r="I15">
        <v>87.84</v>
      </c>
      <c r="J15" s="3">
        <v>0.5</v>
      </c>
      <c r="K15" t="s">
        <v>446</v>
      </c>
      <c r="L15" s="2" t="s">
        <v>370</v>
      </c>
      <c r="M15" s="3">
        <v>0.5</v>
      </c>
      <c r="O15" t="s">
        <v>420</v>
      </c>
      <c r="P15" s="40">
        <f t="shared" ref="P15:P17" si="39">+M15</f>
        <v>0.5</v>
      </c>
      <c r="Q15" s="29">
        <f>+$I$15*P15</f>
        <v>43.92</v>
      </c>
      <c r="S15" s="29">
        <f t="shared" ref="S15:S17" si="40">+Q15*40*52</f>
        <v>91353.600000000006</v>
      </c>
      <c r="T15" s="29">
        <f t="shared" ref="T15:T17" si="41">+S15*0.0833</f>
        <v>7609.7548800000004</v>
      </c>
      <c r="U15" s="29">
        <f t="shared" ref="U15:U17" si="42">+T15</f>
        <v>7609.7548800000004</v>
      </c>
      <c r="V15" s="29">
        <f t="shared" ref="V15:V17" si="43">+S15*0.01</f>
        <v>913.53600000000006</v>
      </c>
      <c r="W15" s="29">
        <f t="shared" ref="W15:W17" si="44">+S15*0.083</f>
        <v>7582.3488000000007</v>
      </c>
      <c r="X15" s="29">
        <f t="shared" ref="X15:X17" si="45">+S15*0.0018</f>
        <v>164.43648000000002</v>
      </c>
      <c r="Y15" s="29">
        <f t="shared" ref="Y15:Y17" si="46">0.71*52*P15</f>
        <v>18.46</v>
      </c>
      <c r="Z15" s="29">
        <f t="shared" ref="Z15:Z17" si="47">172*12*P15</f>
        <v>1032</v>
      </c>
      <c r="AA15" s="29">
        <f t="shared" ref="AA15:AA17" si="48">+(S15+T15+U15)*0.01</f>
        <v>1065.7310975999999</v>
      </c>
      <c r="AB15" s="29">
        <f t="shared" ref="AB15:AB17" si="49">SUM(S15:AA15)</f>
        <v>117349.6221376</v>
      </c>
      <c r="AC15" s="3">
        <f t="shared" ref="AC15" si="50">IF(+J15&gt;0,J15,AC14)</f>
        <v>0.5</v>
      </c>
      <c r="AD15" s="29">
        <f t="shared" ref="AD15:AD17" si="51">+AB15/AC15</f>
        <v>234699.24427520001</v>
      </c>
    </row>
    <row r="16" spans="1:30" ht="15" customHeight="1" x14ac:dyDescent="0.25">
      <c r="H16" s="6"/>
      <c r="L16" s="1" t="s">
        <v>376</v>
      </c>
      <c r="M16" s="3">
        <v>0.4</v>
      </c>
      <c r="O16" t="s">
        <v>423</v>
      </c>
      <c r="P16" s="40">
        <f t="shared" ref="P16" si="52">+M16</f>
        <v>0.4</v>
      </c>
      <c r="Q16" s="29">
        <f t="shared" ref="Q16:Q17" si="53">+$I$15*P16</f>
        <v>35.136000000000003</v>
      </c>
      <c r="S16" s="29">
        <f t="shared" ref="S16" si="54">+Q16*40*52</f>
        <v>73082.880000000005</v>
      </c>
      <c r="T16" s="29">
        <f t="shared" ref="T16" si="55">+S16*0.0833</f>
        <v>6087.8039040000003</v>
      </c>
      <c r="U16" s="29">
        <f t="shared" ref="U16" si="56">+T16</f>
        <v>6087.8039040000003</v>
      </c>
      <c r="V16" s="29">
        <f t="shared" ref="V16" si="57">+S16*0.01</f>
        <v>730.82880000000011</v>
      </c>
      <c r="W16" s="29">
        <f t="shared" si="44"/>
        <v>6065.8790400000007</v>
      </c>
      <c r="X16" s="29">
        <f t="shared" ref="X16" si="58">+S16*0.0018</f>
        <v>131.549184</v>
      </c>
      <c r="Y16" s="29">
        <f t="shared" ref="Y16" si="59">0.71*52*P16</f>
        <v>14.768000000000001</v>
      </c>
      <c r="Z16" s="29">
        <f t="shared" ref="Z16" si="60">172*12*P16</f>
        <v>825.6</v>
      </c>
      <c r="AA16" s="29">
        <f t="shared" ref="AA16" si="61">+(S16+T16+U16)*0.01</f>
        <v>852.58487808000007</v>
      </c>
      <c r="AB16" s="29">
        <f t="shared" ref="AB16" si="62">SUM(S16:AA16)</f>
        <v>93879.697710080014</v>
      </c>
      <c r="AC16" s="3">
        <f>+AC15</f>
        <v>0.5</v>
      </c>
      <c r="AD16" s="29">
        <f t="shared" ref="AD16" si="63">+AB16/AC16</f>
        <v>187759.39542016003</v>
      </c>
    </row>
    <row r="17" spans="1:30" ht="15" customHeight="1" x14ac:dyDescent="0.25">
      <c r="H17" s="6"/>
      <c r="L17" s="1" t="s">
        <v>371</v>
      </c>
      <c r="M17" s="3">
        <v>0.1</v>
      </c>
      <c r="O17" t="s">
        <v>421</v>
      </c>
      <c r="P17" s="40">
        <f t="shared" si="39"/>
        <v>0.1</v>
      </c>
      <c r="Q17" s="29">
        <f t="shared" si="53"/>
        <v>8.7840000000000007</v>
      </c>
      <c r="S17" s="29">
        <f t="shared" si="40"/>
        <v>18270.72</v>
      </c>
      <c r="T17" s="29">
        <f t="shared" si="41"/>
        <v>1521.9509760000001</v>
      </c>
      <c r="U17" s="29">
        <f t="shared" si="42"/>
        <v>1521.9509760000001</v>
      </c>
      <c r="V17" s="29">
        <f t="shared" si="43"/>
        <v>182.70720000000003</v>
      </c>
      <c r="W17" s="29">
        <f t="shared" si="44"/>
        <v>1516.4697600000002</v>
      </c>
      <c r="X17" s="29">
        <f t="shared" si="45"/>
        <v>32.887295999999999</v>
      </c>
      <c r="Y17" s="29">
        <f t="shared" si="46"/>
        <v>3.6920000000000002</v>
      </c>
      <c r="Z17" s="29">
        <f t="shared" si="47"/>
        <v>206.4</v>
      </c>
      <c r="AA17" s="29">
        <f t="shared" si="48"/>
        <v>213.14621952000002</v>
      </c>
      <c r="AB17" s="29">
        <f t="shared" si="49"/>
        <v>23469.924427520004</v>
      </c>
      <c r="AC17" s="3">
        <f>IF(+J17&gt;0,J17,AC15)</f>
        <v>0.5</v>
      </c>
      <c r="AD17" s="29">
        <f t="shared" si="51"/>
        <v>46939.848855040007</v>
      </c>
    </row>
    <row r="18" spans="1:30" ht="15" customHeight="1" x14ac:dyDescent="0.25">
      <c r="H18" s="6"/>
      <c r="L18" s="7"/>
    </row>
    <row r="19" spans="1:30" ht="15" customHeight="1" x14ac:dyDescent="0.25">
      <c r="A19" s="205" t="s">
        <v>37</v>
      </c>
      <c r="B19" t="s">
        <v>38</v>
      </c>
      <c r="C19" t="s">
        <v>39</v>
      </c>
      <c r="E19" t="s">
        <v>3</v>
      </c>
      <c r="F19" t="s">
        <v>40</v>
      </c>
      <c r="G19" t="s">
        <v>1069</v>
      </c>
      <c r="H19" s="6" t="s">
        <v>32</v>
      </c>
      <c r="I19">
        <v>81.61</v>
      </c>
      <c r="J19" s="3">
        <v>0.5</v>
      </c>
      <c r="K19" t="s">
        <v>446</v>
      </c>
      <c r="L19" s="2" t="s">
        <v>376</v>
      </c>
      <c r="M19" s="3">
        <v>1</v>
      </c>
      <c r="O19" t="s">
        <v>423</v>
      </c>
      <c r="P19" s="40">
        <f t="shared" ref="P19:P24" si="64">+M19</f>
        <v>1</v>
      </c>
      <c r="Q19" s="29">
        <f>+I19*P19</f>
        <v>81.61</v>
      </c>
      <c r="S19" s="29">
        <f t="shared" ref="S19:S31" si="65">+Q19*40*52</f>
        <v>169748.80000000002</v>
      </c>
      <c r="T19" s="29">
        <f t="shared" ref="T19:T31" si="66">+S19*0.0833</f>
        <v>14140.075040000002</v>
      </c>
      <c r="U19" s="29">
        <f t="shared" ref="U19:U31" si="67">+T19</f>
        <v>14140.075040000002</v>
      </c>
      <c r="V19" s="29">
        <f t="shared" ref="V19:V31" si="68">+S19*0.01</f>
        <v>1697.4880000000003</v>
      </c>
      <c r="W19" s="29">
        <f t="shared" ref="W19" si="69">+S19*0.083</f>
        <v>14089.150400000002</v>
      </c>
      <c r="X19" s="29">
        <f t="shared" ref="X19:X31" si="70">+S19*0.0018</f>
        <v>305.54784000000001</v>
      </c>
      <c r="Y19" s="29">
        <f t="shared" ref="Y19:Y24" si="71">0.71*52*P19</f>
        <v>36.92</v>
      </c>
      <c r="Z19" s="29">
        <f t="shared" ref="Z19:Z24" si="72">172*12*P19</f>
        <v>2064</v>
      </c>
      <c r="AA19" s="29">
        <f t="shared" ref="AA19:AA31" si="73">+(S19+T19+U19)*0.01</f>
        <v>1980.2895008</v>
      </c>
      <c r="AB19" s="29">
        <f t="shared" ref="AB19:AB31" si="74">SUM(S19:AA19)</f>
        <v>218202.34582080005</v>
      </c>
      <c r="AC19" s="3">
        <f t="shared" ref="AC19:AC20" si="75">IF(+J19&gt;0,J19,AC18)</f>
        <v>0.5</v>
      </c>
      <c r="AD19" s="29">
        <f t="shared" ref="AD19:AD31" si="76">+AB19/AC19</f>
        <v>436404.6916416001</v>
      </c>
    </row>
    <row r="20" spans="1:30" ht="15" customHeight="1" x14ac:dyDescent="0.25">
      <c r="H20" s="6"/>
      <c r="L20" s="2" t="s">
        <v>373</v>
      </c>
      <c r="M20" s="3">
        <v>0</v>
      </c>
      <c r="O20" t="s">
        <v>422</v>
      </c>
      <c r="P20" s="40">
        <f t="shared" si="64"/>
        <v>0</v>
      </c>
      <c r="Q20" s="29">
        <f>+I19*P20</f>
        <v>0</v>
      </c>
      <c r="S20" s="29">
        <f t="shared" si="65"/>
        <v>0</v>
      </c>
      <c r="T20" s="29">
        <f t="shared" si="66"/>
        <v>0</v>
      </c>
      <c r="U20" s="29">
        <f t="shared" si="67"/>
        <v>0</v>
      </c>
      <c r="V20" s="29">
        <f t="shared" si="68"/>
        <v>0</v>
      </c>
      <c r="W20" s="29">
        <f>+S20*0.075</f>
        <v>0</v>
      </c>
      <c r="X20" s="29">
        <f t="shared" si="70"/>
        <v>0</v>
      </c>
      <c r="Y20" s="29">
        <f t="shared" si="71"/>
        <v>0</v>
      </c>
      <c r="Z20" s="29">
        <f t="shared" si="72"/>
        <v>0</v>
      </c>
      <c r="AA20" s="29">
        <f t="shared" si="73"/>
        <v>0</v>
      </c>
      <c r="AB20" s="29">
        <f t="shared" si="74"/>
        <v>0</v>
      </c>
      <c r="AC20" s="3">
        <f t="shared" si="75"/>
        <v>0.5</v>
      </c>
      <c r="AD20" s="29">
        <f t="shared" si="76"/>
        <v>0</v>
      </c>
    </row>
    <row r="21" spans="1:30" ht="15" customHeight="1" x14ac:dyDescent="0.25">
      <c r="H21" s="6"/>
      <c r="L21" s="2"/>
    </row>
    <row r="22" spans="1:30" ht="15" customHeight="1" x14ac:dyDescent="0.25">
      <c r="A22" t="s">
        <v>1538</v>
      </c>
      <c r="B22" t="s">
        <v>1433</v>
      </c>
      <c r="C22" t="s">
        <v>2</v>
      </c>
      <c r="E22" t="s">
        <v>3</v>
      </c>
      <c r="F22" t="s">
        <v>4</v>
      </c>
      <c r="G22" t="s">
        <v>1068</v>
      </c>
      <c r="H22" s="6" t="s">
        <v>32</v>
      </c>
      <c r="I22">
        <v>72.849999999999994</v>
      </c>
      <c r="J22" s="3">
        <v>0.5</v>
      </c>
      <c r="K22" t="s">
        <v>446</v>
      </c>
      <c r="L22" s="2" t="s">
        <v>370</v>
      </c>
      <c r="M22" s="3">
        <v>0.45</v>
      </c>
      <c r="O22" t="s">
        <v>420</v>
      </c>
      <c r="P22" s="40">
        <f t="shared" si="64"/>
        <v>0.45</v>
      </c>
      <c r="Q22" s="29">
        <f>+$I$22*P22</f>
        <v>32.782499999999999</v>
      </c>
      <c r="S22" s="29">
        <f t="shared" si="65"/>
        <v>68187.599999999991</v>
      </c>
      <c r="T22" s="29">
        <f t="shared" si="66"/>
        <v>5680.0270799999989</v>
      </c>
      <c r="U22" s="29">
        <f t="shared" si="67"/>
        <v>5680.0270799999989</v>
      </c>
      <c r="V22" s="29">
        <f t="shared" si="68"/>
        <v>681.87599999999998</v>
      </c>
      <c r="W22" s="29">
        <f t="shared" ref="W22:W24" si="77">+S22*0.083</f>
        <v>5659.5707999999995</v>
      </c>
      <c r="X22" s="29">
        <f t="shared" si="70"/>
        <v>122.73767999999998</v>
      </c>
      <c r="Y22" s="29">
        <f t="shared" si="71"/>
        <v>16.614000000000001</v>
      </c>
      <c r="Z22" s="29">
        <f t="shared" si="72"/>
        <v>928.80000000000007</v>
      </c>
      <c r="AA22" s="29">
        <f t="shared" si="73"/>
        <v>795.4765415999999</v>
      </c>
      <c r="AB22" s="29">
        <f t="shared" si="74"/>
        <v>87752.729181600007</v>
      </c>
      <c r="AC22" s="3">
        <f>IF(+J22&gt;0,J22,AC20)</f>
        <v>0.5</v>
      </c>
      <c r="AD22" s="29">
        <f t="shared" si="76"/>
        <v>175505.45836320001</v>
      </c>
    </row>
    <row r="23" spans="1:30" ht="15" customHeight="1" x14ac:dyDescent="0.25">
      <c r="H23" s="6"/>
      <c r="L23" s="2" t="s">
        <v>373</v>
      </c>
      <c r="M23" s="3">
        <v>0.45</v>
      </c>
      <c r="O23" t="s">
        <v>422</v>
      </c>
      <c r="P23" s="40">
        <f t="shared" si="64"/>
        <v>0.45</v>
      </c>
      <c r="Q23" s="29">
        <f t="shared" ref="Q23:Q24" si="78">+$I$22*P23</f>
        <v>32.782499999999999</v>
      </c>
      <c r="S23" s="29">
        <f t="shared" si="65"/>
        <v>68187.599999999991</v>
      </c>
      <c r="T23" s="29">
        <f t="shared" si="66"/>
        <v>5680.0270799999989</v>
      </c>
      <c r="U23" s="29">
        <f t="shared" si="67"/>
        <v>5680.0270799999989</v>
      </c>
      <c r="V23" s="29">
        <f t="shared" si="68"/>
        <v>681.87599999999998</v>
      </c>
      <c r="W23" s="29">
        <f t="shared" si="77"/>
        <v>5659.5707999999995</v>
      </c>
      <c r="X23" s="29">
        <f t="shared" si="70"/>
        <v>122.73767999999998</v>
      </c>
      <c r="Y23" s="29">
        <f t="shared" si="71"/>
        <v>16.614000000000001</v>
      </c>
      <c r="Z23" s="29">
        <f t="shared" si="72"/>
        <v>928.80000000000007</v>
      </c>
      <c r="AA23" s="29">
        <f t="shared" si="73"/>
        <v>795.4765415999999</v>
      </c>
      <c r="AB23" s="29">
        <f t="shared" si="74"/>
        <v>87752.729181600007</v>
      </c>
      <c r="AC23" s="3">
        <f>IF(+J23&gt;0,J23,AC20)</f>
        <v>0.5</v>
      </c>
      <c r="AD23" s="29">
        <f t="shared" si="76"/>
        <v>175505.45836320001</v>
      </c>
    </row>
    <row r="24" spans="1:30" ht="15" customHeight="1" x14ac:dyDescent="0.25">
      <c r="H24" s="6"/>
      <c r="L24" s="1" t="s">
        <v>372</v>
      </c>
      <c r="M24" s="3">
        <v>0.1</v>
      </c>
      <c r="O24" t="s">
        <v>408</v>
      </c>
      <c r="P24" s="40">
        <f t="shared" si="64"/>
        <v>0.1</v>
      </c>
      <c r="Q24" s="29">
        <f t="shared" si="78"/>
        <v>7.2850000000000001</v>
      </c>
      <c r="S24" s="29">
        <f t="shared" si="65"/>
        <v>15152.8</v>
      </c>
      <c r="T24" s="29">
        <f t="shared" si="66"/>
        <v>1262.2282399999999</v>
      </c>
      <c r="U24" s="29">
        <f t="shared" si="67"/>
        <v>1262.2282399999999</v>
      </c>
      <c r="V24" s="29">
        <f t="shared" si="68"/>
        <v>151.52799999999999</v>
      </c>
      <c r="W24" s="29">
        <f t="shared" si="77"/>
        <v>1257.6823999999999</v>
      </c>
      <c r="X24" s="29">
        <f t="shared" si="70"/>
        <v>27.275039999999997</v>
      </c>
      <c r="Y24" s="29">
        <f t="shared" si="71"/>
        <v>3.6920000000000002</v>
      </c>
      <c r="Z24" s="29">
        <f t="shared" si="72"/>
        <v>206.4</v>
      </c>
      <c r="AA24" s="29">
        <f t="shared" si="73"/>
        <v>176.7725648</v>
      </c>
      <c r="AB24" s="29">
        <f t="shared" si="74"/>
        <v>19500.606484800002</v>
      </c>
      <c r="AC24" s="3">
        <f>IF(+J24&gt;0,J24,AC22)</f>
        <v>0.5</v>
      </c>
      <c r="AD24" s="29">
        <f t="shared" si="76"/>
        <v>39001.212969600005</v>
      </c>
    </row>
    <row r="25" spans="1:30" ht="15" customHeight="1" x14ac:dyDescent="0.25">
      <c r="H25" s="6"/>
      <c r="L25" s="1"/>
    </row>
    <row r="26" spans="1:30" ht="15" customHeight="1" x14ac:dyDescent="0.25">
      <c r="A26" t="s">
        <v>1539</v>
      </c>
      <c r="B26" t="s">
        <v>1402</v>
      </c>
      <c r="C26" t="s">
        <v>280</v>
      </c>
      <c r="E26" t="s">
        <v>3</v>
      </c>
      <c r="F26" t="s">
        <v>4</v>
      </c>
      <c r="G26" t="s">
        <v>1068</v>
      </c>
      <c r="H26" s="6" t="s">
        <v>32</v>
      </c>
      <c r="I26">
        <v>72.849999999999994</v>
      </c>
      <c r="J26" s="3">
        <v>0.5</v>
      </c>
      <c r="K26" t="s">
        <v>446</v>
      </c>
      <c r="L26" s="2" t="s">
        <v>370</v>
      </c>
      <c r="M26" s="3">
        <v>0.45</v>
      </c>
      <c r="O26" t="s">
        <v>420</v>
      </c>
      <c r="P26" s="40">
        <f t="shared" ref="P26:P28" si="79">+M26</f>
        <v>0.45</v>
      </c>
      <c r="Q26" s="29">
        <f>+$I$26*P26</f>
        <v>32.782499999999999</v>
      </c>
      <c r="S26" s="29">
        <f t="shared" ref="S26:S28" si="80">+Q26*40*52</f>
        <v>68187.599999999991</v>
      </c>
      <c r="T26" s="29">
        <f t="shared" ref="T26:T28" si="81">+S26*0.0833</f>
        <v>5680.0270799999989</v>
      </c>
      <c r="U26" s="29">
        <f t="shared" ref="U26:U28" si="82">+T26</f>
        <v>5680.0270799999989</v>
      </c>
      <c r="V26" s="29">
        <f t="shared" ref="V26:V28" si="83">+S26*0.01</f>
        <v>681.87599999999998</v>
      </c>
      <c r="W26" s="29">
        <f t="shared" ref="W26:W28" si="84">+S26*0.083</f>
        <v>5659.5707999999995</v>
      </c>
      <c r="X26" s="29">
        <f t="shared" ref="X26:X28" si="85">+S26*0.0018</f>
        <v>122.73767999999998</v>
      </c>
      <c r="Y26" s="29">
        <f t="shared" ref="Y26:Y28" si="86">0.71*52*P26</f>
        <v>16.614000000000001</v>
      </c>
      <c r="Z26" s="29">
        <f t="shared" ref="Z26:Z28" si="87">172*12*P26</f>
        <v>928.80000000000007</v>
      </c>
      <c r="AA26" s="29">
        <f t="shared" ref="AA26:AA28" si="88">+(S26+T26+U26)*0.01</f>
        <v>795.4765415999999</v>
      </c>
      <c r="AB26" s="29">
        <f t="shared" ref="AB26:AB28" si="89">SUM(S26:AA26)</f>
        <v>87752.729181600007</v>
      </c>
      <c r="AC26" s="3">
        <f>IF(+J26&gt;0,J26,AC23)</f>
        <v>0.5</v>
      </c>
      <c r="AD26" s="29">
        <f t="shared" ref="AD26:AD28" si="90">+AB26/AC26</f>
        <v>175505.45836320001</v>
      </c>
    </row>
    <row r="27" spans="1:30" ht="15" customHeight="1" x14ac:dyDescent="0.25">
      <c r="H27" s="6"/>
      <c r="L27" s="2" t="s">
        <v>373</v>
      </c>
      <c r="M27" s="3">
        <v>0.45</v>
      </c>
      <c r="O27" t="s">
        <v>422</v>
      </c>
      <c r="P27" s="40">
        <f t="shared" si="79"/>
        <v>0.45</v>
      </c>
      <c r="Q27" s="29">
        <f t="shared" ref="Q27:Q28" si="91">+$I$26*P27</f>
        <v>32.782499999999999</v>
      </c>
      <c r="S27" s="29">
        <f t="shared" si="80"/>
        <v>68187.599999999991</v>
      </c>
      <c r="T27" s="29">
        <f t="shared" si="81"/>
        <v>5680.0270799999989</v>
      </c>
      <c r="U27" s="29">
        <f t="shared" si="82"/>
        <v>5680.0270799999989</v>
      </c>
      <c r="V27" s="29">
        <f t="shared" si="83"/>
        <v>681.87599999999998</v>
      </c>
      <c r="W27" s="29">
        <f t="shared" si="84"/>
        <v>5659.5707999999995</v>
      </c>
      <c r="X27" s="29">
        <f t="shared" si="85"/>
        <v>122.73767999999998</v>
      </c>
      <c r="Y27" s="29">
        <f t="shared" si="86"/>
        <v>16.614000000000001</v>
      </c>
      <c r="Z27" s="29">
        <f t="shared" si="87"/>
        <v>928.80000000000007</v>
      </c>
      <c r="AA27" s="29">
        <f t="shared" si="88"/>
        <v>795.4765415999999</v>
      </c>
      <c r="AB27" s="29">
        <f t="shared" si="89"/>
        <v>87752.729181600007</v>
      </c>
      <c r="AC27" s="3">
        <f>IF(+J27&gt;0,J27,AC23)</f>
        <v>0.5</v>
      </c>
      <c r="AD27" s="29">
        <f t="shared" si="90"/>
        <v>175505.45836320001</v>
      </c>
    </row>
    <row r="28" spans="1:30" ht="15" customHeight="1" x14ac:dyDescent="0.25">
      <c r="H28" s="6"/>
      <c r="L28" s="1" t="s">
        <v>372</v>
      </c>
      <c r="M28" s="3">
        <v>0.1</v>
      </c>
      <c r="O28" t="s">
        <v>408</v>
      </c>
      <c r="P28" s="40">
        <f t="shared" si="79"/>
        <v>0.1</v>
      </c>
      <c r="Q28" s="29">
        <f t="shared" si="91"/>
        <v>7.2850000000000001</v>
      </c>
      <c r="S28" s="29">
        <f t="shared" si="80"/>
        <v>15152.8</v>
      </c>
      <c r="T28" s="29">
        <f t="shared" si="81"/>
        <v>1262.2282399999999</v>
      </c>
      <c r="U28" s="29">
        <f t="shared" si="82"/>
        <v>1262.2282399999999</v>
      </c>
      <c r="V28" s="29">
        <f t="shared" si="83"/>
        <v>151.52799999999999</v>
      </c>
      <c r="W28" s="29">
        <f t="shared" si="84"/>
        <v>1257.6823999999999</v>
      </c>
      <c r="X28" s="29">
        <f t="shared" si="85"/>
        <v>27.275039999999997</v>
      </c>
      <c r="Y28" s="29">
        <f t="shared" si="86"/>
        <v>3.6920000000000002</v>
      </c>
      <c r="Z28" s="29">
        <f t="shared" si="87"/>
        <v>206.4</v>
      </c>
      <c r="AA28" s="29">
        <f t="shared" si="88"/>
        <v>176.7725648</v>
      </c>
      <c r="AB28" s="29">
        <f t="shared" si="89"/>
        <v>19500.606484800002</v>
      </c>
      <c r="AC28" s="3">
        <f>IF(+J28&gt;0,J28,AC26)</f>
        <v>0.5</v>
      </c>
      <c r="AD28" s="29">
        <f t="shared" si="90"/>
        <v>39001.212969600005</v>
      </c>
    </row>
    <row r="29" spans="1:30" ht="15" customHeight="1" x14ac:dyDescent="0.25">
      <c r="H29" s="6"/>
      <c r="L29" s="2"/>
    </row>
    <row r="30" spans="1:30" ht="15" customHeight="1" x14ac:dyDescent="0.25">
      <c r="A30" s="205" t="s">
        <v>1400</v>
      </c>
      <c r="B30" t="s">
        <v>1388</v>
      </c>
      <c r="C30" t="s">
        <v>1389</v>
      </c>
      <c r="D30"/>
      <c r="E30" t="s">
        <v>3</v>
      </c>
      <c r="F30" t="s">
        <v>1390</v>
      </c>
      <c r="G30" t="s">
        <v>1391</v>
      </c>
      <c r="H30" t="s">
        <v>32</v>
      </c>
      <c r="I30">
        <v>87.84</v>
      </c>
      <c r="J30" s="3">
        <v>0.5</v>
      </c>
      <c r="K30" t="s">
        <v>446</v>
      </c>
      <c r="L30" s="2" t="s">
        <v>370</v>
      </c>
      <c r="M30" s="3">
        <v>0.15</v>
      </c>
      <c r="O30" t="s">
        <v>420</v>
      </c>
      <c r="P30" s="40">
        <f>+M30</f>
        <v>0.15</v>
      </c>
      <c r="Q30" s="29">
        <f>+$I$30*P30</f>
        <v>13.176</v>
      </c>
      <c r="S30" s="29">
        <f t="shared" si="65"/>
        <v>27406.079999999998</v>
      </c>
      <c r="T30" s="29">
        <f t="shared" si="66"/>
        <v>2282.9264639999997</v>
      </c>
      <c r="U30" s="29">
        <f t="shared" si="67"/>
        <v>2282.9264639999997</v>
      </c>
      <c r="V30" s="29">
        <f t="shared" si="68"/>
        <v>274.06079999999997</v>
      </c>
      <c r="W30" s="29">
        <f t="shared" ref="W30:W32" si="92">+S30*0.083</f>
        <v>2274.7046399999999</v>
      </c>
      <c r="X30" s="29">
        <f t="shared" si="70"/>
        <v>49.330943999999995</v>
      </c>
      <c r="Y30" s="29">
        <f t="shared" ref="Y30:Y31" si="93">0.71*52*P30</f>
        <v>5.5380000000000003</v>
      </c>
      <c r="Z30" s="29">
        <f t="shared" ref="Z30:Z31" si="94">172*12*P30</f>
        <v>309.59999999999997</v>
      </c>
      <c r="AA30" s="29">
        <f t="shared" si="73"/>
        <v>319.71932928000001</v>
      </c>
      <c r="AB30" s="29">
        <f t="shared" si="74"/>
        <v>35204.886641279998</v>
      </c>
      <c r="AC30" s="3">
        <f>IF(+J30&gt;0,J30,AC20)</f>
        <v>0.5</v>
      </c>
      <c r="AD30" s="29">
        <f t="shared" si="76"/>
        <v>70409.773282559996</v>
      </c>
    </row>
    <row r="31" spans="1:30" ht="15" customHeight="1" x14ac:dyDescent="0.25">
      <c r="H31" s="6"/>
      <c r="L31" s="1" t="s">
        <v>372</v>
      </c>
      <c r="M31" s="3">
        <v>0.15</v>
      </c>
      <c r="O31" t="s">
        <v>408</v>
      </c>
      <c r="P31" s="40">
        <f t="shared" ref="P31:P46" si="95">+M31</f>
        <v>0.15</v>
      </c>
      <c r="Q31" s="29">
        <f t="shared" ref="Q31:Q32" si="96">+$I$30*P31</f>
        <v>13.176</v>
      </c>
      <c r="S31" s="29">
        <f t="shared" si="65"/>
        <v>27406.079999999998</v>
      </c>
      <c r="T31" s="29">
        <f t="shared" si="66"/>
        <v>2282.9264639999997</v>
      </c>
      <c r="U31" s="29">
        <f t="shared" si="67"/>
        <v>2282.9264639999997</v>
      </c>
      <c r="V31" s="29">
        <f t="shared" si="68"/>
        <v>274.06079999999997</v>
      </c>
      <c r="W31" s="29">
        <f t="shared" si="92"/>
        <v>2274.7046399999999</v>
      </c>
      <c r="X31" s="29">
        <f t="shared" si="70"/>
        <v>49.330943999999995</v>
      </c>
      <c r="Y31" s="29">
        <f t="shared" si="93"/>
        <v>5.5380000000000003</v>
      </c>
      <c r="Z31" s="29">
        <f t="shared" si="94"/>
        <v>309.59999999999997</v>
      </c>
      <c r="AA31" s="29">
        <f t="shared" si="73"/>
        <v>319.71932928000001</v>
      </c>
      <c r="AB31" s="29">
        <f t="shared" si="74"/>
        <v>35204.886641279998</v>
      </c>
      <c r="AC31" s="3">
        <f>IF(+J31&gt;0,J31,AC30)</f>
        <v>0.5</v>
      </c>
      <c r="AD31" s="29">
        <f t="shared" si="76"/>
        <v>70409.773282559996</v>
      </c>
    </row>
    <row r="32" spans="1:30" ht="15" customHeight="1" x14ac:dyDescent="0.25">
      <c r="H32" s="6"/>
      <c r="K32" t="s">
        <v>446</v>
      </c>
      <c r="L32" s="2" t="s">
        <v>370</v>
      </c>
      <c r="M32" s="3">
        <v>0.7</v>
      </c>
      <c r="O32" t="s">
        <v>420</v>
      </c>
      <c r="P32" s="40">
        <f t="shared" ref="P32" si="97">+M32</f>
        <v>0.7</v>
      </c>
      <c r="Q32" s="29">
        <f t="shared" si="96"/>
        <v>61.488</v>
      </c>
      <c r="S32" s="29">
        <f t="shared" ref="S32" si="98">+Q32*40*52</f>
        <v>127895.03999999999</v>
      </c>
      <c r="T32" s="29">
        <f t="shared" ref="T32" si="99">+S32*0.0833</f>
        <v>10653.656831999999</v>
      </c>
      <c r="U32" s="29">
        <f t="shared" ref="U32" si="100">+T32</f>
        <v>10653.656831999999</v>
      </c>
      <c r="V32" s="29">
        <f t="shared" ref="V32" si="101">+S32*0.01</f>
        <v>1278.9503999999999</v>
      </c>
      <c r="W32" s="29">
        <f t="shared" si="92"/>
        <v>10615.28832</v>
      </c>
      <c r="X32" s="29">
        <f t="shared" ref="X32" si="102">+S32*0.0018</f>
        <v>230.21107199999997</v>
      </c>
      <c r="Y32" s="29">
        <f t="shared" ref="Y32" si="103">0.71*52*P32</f>
        <v>25.844000000000001</v>
      </c>
      <c r="Z32" s="29">
        <f t="shared" ref="Z32" si="104">172*12*P32</f>
        <v>1444.8</v>
      </c>
      <c r="AA32" s="29">
        <f t="shared" ref="AA32" si="105">+(S32+T32+U32)*0.01</f>
        <v>1492.02353664</v>
      </c>
      <c r="AB32" s="29">
        <f t="shared" ref="AB32" si="106">SUM(S32:AA32)</f>
        <v>164289.47099263998</v>
      </c>
      <c r="AC32" s="3">
        <f>IF(+J32&gt;0,J32,AC31)</f>
        <v>0.5</v>
      </c>
      <c r="AD32" s="29">
        <f t="shared" ref="AD32" si="107">+AB32/AC32</f>
        <v>328578.94198527996</v>
      </c>
    </row>
    <row r="33" spans="1:30" ht="15" customHeight="1" x14ac:dyDescent="0.25">
      <c r="H33" s="6"/>
      <c r="L33" s="2"/>
    </row>
    <row r="34" spans="1:30" ht="15" customHeight="1" x14ac:dyDescent="0.25">
      <c r="A34" s="215" t="s">
        <v>1569</v>
      </c>
      <c r="B34" t="s">
        <v>1549</v>
      </c>
      <c r="D34"/>
      <c r="E34" t="s">
        <v>3</v>
      </c>
      <c r="F34" t="s">
        <v>4</v>
      </c>
      <c r="G34" t="s">
        <v>1391</v>
      </c>
      <c r="H34" t="s">
        <v>32</v>
      </c>
      <c r="I34">
        <v>72.849999999999994</v>
      </c>
      <c r="J34" s="3">
        <v>0.5</v>
      </c>
      <c r="K34" t="s">
        <v>446</v>
      </c>
      <c r="L34" s="1" t="s">
        <v>371</v>
      </c>
      <c r="M34" s="3">
        <v>0.1</v>
      </c>
      <c r="O34" t="s">
        <v>421</v>
      </c>
      <c r="P34" s="40">
        <f t="shared" si="95"/>
        <v>0.1</v>
      </c>
      <c r="Q34" s="29">
        <f>+$I$34*P34</f>
        <v>7.2850000000000001</v>
      </c>
      <c r="S34" s="29">
        <f>+Q34*40*52</f>
        <v>15152.8</v>
      </c>
      <c r="T34" s="29">
        <f>+S34*0.0833</f>
        <v>1262.2282399999999</v>
      </c>
      <c r="U34" s="29">
        <f>+T34</f>
        <v>1262.2282399999999</v>
      </c>
      <c r="V34" s="29">
        <f>+S34*0.01</f>
        <v>151.52799999999999</v>
      </c>
      <c r="W34" s="29">
        <f t="shared" ref="W34:W37" si="108">+S34*0.083</f>
        <v>1257.6823999999999</v>
      </c>
      <c r="X34" s="29">
        <f>+S34*0.0018</f>
        <v>27.275039999999997</v>
      </c>
      <c r="Y34" s="29">
        <f t="shared" ref="Y34:Y36" si="109">0.71*52*P34</f>
        <v>3.6920000000000002</v>
      </c>
      <c r="Z34" s="29">
        <f t="shared" ref="Z34:Z36" si="110">172*12*P34</f>
        <v>206.4</v>
      </c>
      <c r="AA34" s="29">
        <f>+(S34+T34+U34)*0.01</f>
        <v>176.7725648</v>
      </c>
      <c r="AB34" s="29">
        <f>SUM(S34:AA34)</f>
        <v>19500.606484800002</v>
      </c>
      <c r="AC34" s="3">
        <f>IF(+J34&gt;0,J34,AC6)</f>
        <v>0.5</v>
      </c>
      <c r="AD34" s="29">
        <f>+AB34/AC34</f>
        <v>39001.212969600005</v>
      </c>
    </row>
    <row r="35" spans="1:30" ht="15" customHeight="1" x14ac:dyDescent="0.25">
      <c r="H35" s="6"/>
      <c r="K35" t="s">
        <v>446</v>
      </c>
      <c r="L35" s="1" t="s">
        <v>372</v>
      </c>
      <c r="M35" s="3">
        <v>0.1</v>
      </c>
      <c r="O35" t="s">
        <v>408</v>
      </c>
      <c r="P35" s="40">
        <f t="shared" si="95"/>
        <v>0.1</v>
      </c>
      <c r="Q35" s="29">
        <f t="shared" ref="Q35:Q37" si="111">+$I$34*P35</f>
        <v>7.2850000000000001</v>
      </c>
      <c r="S35" s="29">
        <f t="shared" ref="S35:S36" si="112">+Q35*40*52</f>
        <v>15152.8</v>
      </c>
      <c r="T35" s="29">
        <f t="shared" ref="T35:T36" si="113">+S35*0.0833</f>
        <v>1262.2282399999999</v>
      </c>
      <c r="U35" s="29">
        <f t="shared" ref="U35:U36" si="114">+T35</f>
        <v>1262.2282399999999</v>
      </c>
      <c r="V35" s="29">
        <f t="shared" ref="V35:V36" si="115">+S35*0.01</f>
        <v>151.52799999999999</v>
      </c>
      <c r="W35" s="29">
        <f t="shared" si="108"/>
        <v>1257.6823999999999</v>
      </c>
      <c r="X35" s="29">
        <f t="shared" ref="X35:X36" si="116">+S35*0.0018</f>
        <v>27.275039999999997</v>
      </c>
      <c r="Y35" s="29">
        <f t="shared" si="109"/>
        <v>3.6920000000000002</v>
      </c>
      <c r="Z35" s="29">
        <f t="shared" si="110"/>
        <v>206.4</v>
      </c>
      <c r="AA35" s="29">
        <f t="shared" ref="AA35:AA36" si="117">+(S35+T35+U35)*0.01</f>
        <v>176.7725648</v>
      </c>
      <c r="AB35" s="29">
        <f t="shared" ref="AB35:AB36" si="118">SUM(S35:AA35)</f>
        <v>19500.606484800002</v>
      </c>
      <c r="AC35" s="3">
        <f>IF(+J35&gt;0,J35,AC31)</f>
        <v>0.5</v>
      </c>
      <c r="AD35" s="29">
        <f t="shared" ref="AD35:AD36" si="119">+AB35/AC35</f>
        <v>39001.212969600005</v>
      </c>
    </row>
    <row r="36" spans="1:30" ht="15" customHeight="1" x14ac:dyDescent="0.25">
      <c r="H36" s="6"/>
      <c r="K36" t="s">
        <v>446</v>
      </c>
      <c r="L36" s="1" t="s">
        <v>375</v>
      </c>
      <c r="M36" s="3">
        <v>0.4</v>
      </c>
      <c r="O36" t="s">
        <v>454</v>
      </c>
      <c r="P36" s="40">
        <f t="shared" si="95"/>
        <v>0.4</v>
      </c>
      <c r="Q36" s="29">
        <f t="shared" si="111"/>
        <v>29.14</v>
      </c>
      <c r="S36" s="29">
        <f t="shared" si="112"/>
        <v>60611.199999999997</v>
      </c>
      <c r="T36" s="29">
        <f t="shared" si="113"/>
        <v>5048.9129599999997</v>
      </c>
      <c r="U36" s="29">
        <f t="shared" si="114"/>
        <v>5048.9129599999997</v>
      </c>
      <c r="V36" s="29">
        <f t="shared" si="115"/>
        <v>606.11199999999997</v>
      </c>
      <c r="W36" s="29">
        <f t="shared" si="108"/>
        <v>5030.7295999999997</v>
      </c>
      <c r="X36" s="29">
        <f t="shared" si="116"/>
        <v>109.10015999999999</v>
      </c>
      <c r="Y36" s="29">
        <f t="shared" si="109"/>
        <v>14.768000000000001</v>
      </c>
      <c r="Z36" s="29">
        <f t="shared" si="110"/>
        <v>825.6</v>
      </c>
      <c r="AA36" s="29">
        <f t="shared" si="117"/>
        <v>707.09025919999999</v>
      </c>
      <c r="AB36" s="29">
        <f t="shared" si="118"/>
        <v>78002.425939200009</v>
      </c>
      <c r="AC36" s="3">
        <f>IF(+J36&gt;0,J36,AC31)</f>
        <v>0.5</v>
      </c>
      <c r="AD36" s="29">
        <f t="shared" si="119"/>
        <v>156004.85187840002</v>
      </c>
    </row>
    <row r="37" spans="1:30" ht="15" customHeight="1" x14ac:dyDescent="0.25">
      <c r="H37" s="6"/>
      <c r="K37" t="s">
        <v>446</v>
      </c>
      <c r="L37" s="2" t="s">
        <v>373</v>
      </c>
      <c r="M37" s="3">
        <v>0.4</v>
      </c>
      <c r="O37" t="s">
        <v>422</v>
      </c>
      <c r="P37" s="40">
        <f t="shared" ref="P37" si="120">+M37</f>
        <v>0.4</v>
      </c>
      <c r="Q37" s="29">
        <f t="shared" si="111"/>
        <v>29.14</v>
      </c>
      <c r="S37" s="29">
        <f t="shared" ref="S37" si="121">+Q37*40*52</f>
        <v>60611.199999999997</v>
      </c>
      <c r="T37" s="29">
        <f t="shared" ref="T37" si="122">+S37*0.0833</f>
        <v>5048.9129599999997</v>
      </c>
      <c r="U37" s="29">
        <f t="shared" ref="U37" si="123">+T37</f>
        <v>5048.9129599999997</v>
      </c>
      <c r="V37" s="29">
        <f t="shared" ref="V37" si="124">+S37*0.01</f>
        <v>606.11199999999997</v>
      </c>
      <c r="W37" s="29">
        <f t="shared" si="108"/>
        <v>5030.7295999999997</v>
      </c>
      <c r="X37" s="29">
        <f t="shared" ref="X37" si="125">+S37*0.0018</f>
        <v>109.10015999999999</v>
      </c>
      <c r="Y37" s="29">
        <f t="shared" ref="Y37" si="126">0.71*52*P37</f>
        <v>14.768000000000001</v>
      </c>
      <c r="Z37" s="29">
        <f t="shared" ref="Z37" si="127">172*12*P37</f>
        <v>825.6</v>
      </c>
      <c r="AA37" s="29">
        <f t="shared" ref="AA37" si="128">+(S37+T37+U37)*0.01</f>
        <v>707.09025919999999</v>
      </c>
      <c r="AB37" s="29">
        <f t="shared" ref="AB37" si="129">SUM(S37:AA37)</f>
        <v>78002.425939200009</v>
      </c>
      <c r="AC37" s="3">
        <f>IF(+J37&gt;0,J37,AC32)</f>
        <v>0.5</v>
      </c>
      <c r="AD37" s="29">
        <f t="shared" ref="AD37" si="130">+AB37/AC37</f>
        <v>156004.85187840002</v>
      </c>
    </row>
    <row r="38" spans="1:30" ht="15" customHeight="1" x14ac:dyDescent="0.25">
      <c r="H38" s="6"/>
      <c r="L38" s="1"/>
    </row>
    <row r="39" spans="1:30" ht="15" customHeight="1" x14ac:dyDescent="0.25">
      <c r="A39" s="127" t="s">
        <v>384</v>
      </c>
      <c r="H39" s="6"/>
      <c r="L39" s="2"/>
    </row>
    <row r="40" spans="1:30" ht="15" customHeight="1" x14ac:dyDescent="0.25">
      <c r="A40" s="205" t="s">
        <v>7</v>
      </c>
      <c r="B40" t="s">
        <v>8</v>
      </c>
      <c r="C40" t="s">
        <v>9</v>
      </c>
      <c r="D40"/>
      <c r="E40" t="s">
        <v>3</v>
      </c>
      <c r="F40" t="s">
        <v>4</v>
      </c>
      <c r="G40" t="s">
        <v>10</v>
      </c>
      <c r="H40" t="s">
        <v>11</v>
      </c>
      <c r="I40">
        <v>111.14</v>
      </c>
      <c r="J40" s="3">
        <v>0.75</v>
      </c>
      <c r="K40" t="s">
        <v>447</v>
      </c>
      <c r="L40" s="2" t="s">
        <v>384</v>
      </c>
      <c r="M40" s="3">
        <v>1</v>
      </c>
      <c r="O40" t="s">
        <v>424</v>
      </c>
      <c r="P40" s="40">
        <f t="shared" si="95"/>
        <v>1</v>
      </c>
      <c r="Q40" s="29">
        <f>+I40*P40</f>
        <v>111.14</v>
      </c>
      <c r="S40" s="29">
        <f t="shared" ref="S40" si="131">+Q40*40*52</f>
        <v>231171.20000000001</v>
      </c>
      <c r="T40" s="29">
        <f t="shared" ref="T40" si="132">+S40*0.0833</f>
        <v>19256.560960000003</v>
      </c>
      <c r="U40" s="29">
        <f t="shared" ref="U40" si="133">+T40</f>
        <v>19256.560960000003</v>
      </c>
      <c r="V40" s="29">
        <f t="shared" ref="V40" si="134">+S40*0.01</f>
        <v>2311.712</v>
      </c>
      <c r="W40" s="29">
        <f t="shared" ref="W40:W47" si="135">+S40*0.083</f>
        <v>19187.209600000002</v>
      </c>
      <c r="X40" s="29">
        <f t="shared" ref="X40" si="136">+S40*0.0018</f>
        <v>416.10816</v>
      </c>
      <c r="Y40" s="29">
        <f t="shared" ref="Y40:Y46" si="137">0.71*52*P40</f>
        <v>36.92</v>
      </c>
      <c r="Z40" s="29">
        <f t="shared" ref="Z40:Z46" si="138">172*12*P40</f>
        <v>2064</v>
      </c>
      <c r="AA40" s="29">
        <f t="shared" ref="AA40" si="139">+(S40+T40+U40)*0.01</f>
        <v>2696.8432192</v>
      </c>
      <c r="AB40" s="29">
        <f t="shared" ref="AB40" si="140">SUM(S40:AA40)</f>
        <v>296397.11489919998</v>
      </c>
      <c r="AC40" s="3">
        <f>IF(+J40&gt;0,J40,AC35)</f>
        <v>0.75</v>
      </c>
      <c r="AD40" s="29">
        <f t="shared" ref="AD40" si="141">+AB40/AC40</f>
        <v>395196.15319893329</v>
      </c>
    </row>
    <row r="41" spans="1:30" ht="15" customHeight="1" x14ac:dyDescent="0.25">
      <c r="A41" s="205" t="s">
        <v>253</v>
      </c>
      <c r="B41" t="s">
        <v>254</v>
      </c>
      <c r="C41" t="s">
        <v>255</v>
      </c>
      <c r="D41"/>
      <c r="E41" t="s">
        <v>3</v>
      </c>
      <c r="F41" t="s">
        <v>4</v>
      </c>
      <c r="G41" t="s">
        <v>1392</v>
      </c>
      <c r="H41" t="s">
        <v>11</v>
      </c>
      <c r="I41">
        <v>76.040000000000006</v>
      </c>
      <c r="J41" s="3">
        <v>0.5</v>
      </c>
      <c r="K41" t="s">
        <v>447</v>
      </c>
      <c r="L41" s="2" t="s">
        <v>384</v>
      </c>
      <c r="M41" s="3">
        <v>1</v>
      </c>
      <c r="O41" t="s">
        <v>424</v>
      </c>
      <c r="P41" s="40">
        <f t="shared" si="95"/>
        <v>1</v>
      </c>
      <c r="Q41" s="29">
        <f>+I41*P41</f>
        <v>76.040000000000006</v>
      </c>
      <c r="S41" s="29">
        <f t="shared" ref="S41:S46" si="142">+Q41*40*52</f>
        <v>158163.20000000001</v>
      </c>
      <c r="T41" s="29">
        <f t="shared" ref="T41:T46" si="143">+S41*0.0833</f>
        <v>13174.994560000001</v>
      </c>
      <c r="U41" s="29">
        <f t="shared" ref="U41:U46" si="144">+T41</f>
        <v>13174.994560000001</v>
      </c>
      <c r="V41" s="29">
        <f t="shared" ref="V41:V46" si="145">+S41*0.01</f>
        <v>1581.6320000000001</v>
      </c>
      <c r="W41" s="29">
        <f t="shared" si="135"/>
        <v>13127.545600000001</v>
      </c>
      <c r="X41" s="29">
        <f t="shared" ref="X41:X46" si="146">+S41*0.0018</f>
        <v>284.69376</v>
      </c>
      <c r="Y41" s="29">
        <f t="shared" si="137"/>
        <v>36.92</v>
      </c>
      <c r="Z41" s="29">
        <f t="shared" si="138"/>
        <v>2064</v>
      </c>
      <c r="AA41" s="29">
        <f t="shared" ref="AA41:AA46" si="147">+(S41+T41+U41)*0.01</f>
        <v>1845.1318911999999</v>
      </c>
      <c r="AB41" s="29">
        <f t="shared" ref="AB41:AB46" si="148">SUM(S41:AA41)</f>
        <v>203453.11237120003</v>
      </c>
      <c r="AC41" s="3">
        <f>IF(+J41&gt;0,J41,AC39)</f>
        <v>0.5</v>
      </c>
      <c r="AD41" s="29">
        <f t="shared" ref="AD41:AD46" si="149">+AB41/AC41</f>
        <v>406906.22474240005</v>
      </c>
    </row>
    <row r="42" spans="1:30" ht="15" customHeight="1" x14ac:dyDescent="0.25">
      <c r="A42" s="205" t="s">
        <v>305</v>
      </c>
      <c r="B42" t="s">
        <v>306</v>
      </c>
      <c r="C42" t="s">
        <v>1393</v>
      </c>
      <c r="D42"/>
      <c r="E42" t="s">
        <v>3</v>
      </c>
      <c r="F42" t="s">
        <v>4</v>
      </c>
      <c r="G42" t="s">
        <v>24</v>
      </c>
      <c r="H42" t="s">
        <v>11</v>
      </c>
      <c r="I42">
        <v>81.61</v>
      </c>
      <c r="J42" s="3">
        <v>0.5</v>
      </c>
      <c r="K42" t="s">
        <v>447</v>
      </c>
      <c r="L42" s="2" t="s">
        <v>384</v>
      </c>
      <c r="M42" s="3">
        <v>1</v>
      </c>
      <c r="O42" t="s">
        <v>424</v>
      </c>
      <c r="P42" s="40">
        <f t="shared" si="95"/>
        <v>1</v>
      </c>
      <c r="Q42" s="29">
        <f t="shared" ref="Q42:Q46" si="150">+I42*P42</f>
        <v>81.61</v>
      </c>
      <c r="S42" s="29">
        <f t="shared" si="142"/>
        <v>169748.80000000002</v>
      </c>
      <c r="T42" s="29">
        <f t="shared" si="143"/>
        <v>14140.075040000002</v>
      </c>
      <c r="U42" s="29">
        <f t="shared" si="144"/>
        <v>14140.075040000002</v>
      </c>
      <c r="V42" s="29">
        <f t="shared" si="145"/>
        <v>1697.4880000000003</v>
      </c>
      <c r="W42" s="29">
        <f t="shared" si="135"/>
        <v>14089.150400000002</v>
      </c>
      <c r="X42" s="29">
        <f t="shared" si="146"/>
        <v>305.54784000000001</v>
      </c>
      <c r="Y42" s="29">
        <f t="shared" si="137"/>
        <v>36.92</v>
      </c>
      <c r="Z42" s="29">
        <f t="shared" si="138"/>
        <v>2064</v>
      </c>
      <c r="AA42" s="29">
        <f t="shared" si="147"/>
        <v>1980.2895008</v>
      </c>
      <c r="AB42" s="29">
        <f t="shared" si="148"/>
        <v>218202.34582080005</v>
      </c>
      <c r="AC42" s="3">
        <f t="shared" ref="AC42:AC46" si="151">IF(+J42&gt;0,J42,AC41)</f>
        <v>0.5</v>
      </c>
      <c r="AD42" s="29">
        <f t="shared" si="149"/>
        <v>436404.6916416001</v>
      </c>
    </row>
    <row r="43" spans="1:30" ht="15" customHeight="1" x14ac:dyDescent="0.25">
      <c r="A43" t="s">
        <v>1520</v>
      </c>
      <c r="B43" t="s">
        <v>1521</v>
      </c>
      <c r="D43"/>
      <c r="E43" t="s">
        <v>3</v>
      </c>
      <c r="F43" t="s">
        <v>4</v>
      </c>
      <c r="H43" t="s">
        <v>11</v>
      </c>
      <c r="I43">
        <v>66.930000000000007</v>
      </c>
      <c r="J43" s="3">
        <v>0.5</v>
      </c>
      <c r="K43" t="s">
        <v>447</v>
      </c>
      <c r="L43" s="2" t="s">
        <v>384</v>
      </c>
      <c r="M43" s="3">
        <v>1</v>
      </c>
      <c r="O43" t="s">
        <v>424</v>
      </c>
      <c r="P43" s="40">
        <f t="shared" si="95"/>
        <v>1</v>
      </c>
      <c r="Q43" s="29">
        <f t="shared" si="150"/>
        <v>66.930000000000007</v>
      </c>
      <c r="S43" s="29">
        <f t="shared" si="142"/>
        <v>139214.40000000002</v>
      </c>
      <c r="T43" s="29">
        <f t="shared" si="143"/>
        <v>11596.559520000003</v>
      </c>
      <c r="U43" s="29">
        <f t="shared" si="144"/>
        <v>11596.559520000003</v>
      </c>
      <c r="V43" s="29">
        <f t="shared" si="145"/>
        <v>1392.1440000000002</v>
      </c>
      <c r="W43" s="29">
        <f t="shared" si="135"/>
        <v>11554.795200000002</v>
      </c>
      <c r="X43" s="29">
        <f t="shared" si="146"/>
        <v>250.58592000000004</v>
      </c>
      <c r="Y43" s="29">
        <f t="shared" si="137"/>
        <v>36.92</v>
      </c>
      <c r="Z43" s="29">
        <f t="shared" si="138"/>
        <v>2064</v>
      </c>
      <c r="AA43" s="29">
        <f t="shared" si="147"/>
        <v>1624.0751904000006</v>
      </c>
      <c r="AB43" s="29">
        <f t="shared" si="148"/>
        <v>179330.03935040007</v>
      </c>
      <c r="AC43" s="3">
        <f>IF(+J43&gt;0,J43,#REF!)</f>
        <v>0.5</v>
      </c>
      <c r="AD43" s="29">
        <f t="shared" si="149"/>
        <v>358660.07870080014</v>
      </c>
    </row>
    <row r="44" spans="1:30" ht="15" customHeight="1" x14ac:dyDescent="0.25">
      <c r="A44" s="205" t="s">
        <v>853</v>
      </c>
      <c r="B44" t="s">
        <v>1394</v>
      </c>
      <c r="C44" t="s">
        <v>1395</v>
      </c>
      <c r="D44"/>
      <c r="E44" t="s">
        <v>3</v>
      </c>
      <c r="F44" t="s">
        <v>4</v>
      </c>
      <c r="G44" t="s">
        <v>938</v>
      </c>
      <c r="H44" t="s">
        <v>11</v>
      </c>
      <c r="I44">
        <v>81.61</v>
      </c>
      <c r="J44" s="3">
        <v>0.5</v>
      </c>
      <c r="K44" t="s">
        <v>447</v>
      </c>
      <c r="L44" s="2" t="s">
        <v>384</v>
      </c>
      <c r="M44" s="3">
        <v>1</v>
      </c>
      <c r="O44" t="s">
        <v>424</v>
      </c>
      <c r="P44" s="40">
        <f t="shared" si="95"/>
        <v>1</v>
      </c>
      <c r="Q44" s="29">
        <f t="shared" si="150"/>
        <v>81.61</v>
      </c>
      <c r="S44" s="29">
        <f t="shared" si="142"/>
        <v>169748.80000000002</v>
      </c>
      <c r="T44" s="29">
        <f t="shared" si="143"/>
        <v>14140.075040000002</v>
      </c>
      <c r="U44" s="29">
        <f t="shared" si="144"/>
        <v>14140.075040000002</v>
      </c>
      <c r="V44" s="29">
        <f t="shared" si="145"/>
        <v>1697.4880000000003</v>
      </c>
      <c r="W44" s="29">
        <f t="shared" si="135"/>
        <v>14089.150400000002</v>
      </c>
      <c r="X44" s="29">
        <f t="shared" si="146"/>
        <v>305.54784000000001</v>
      </c>
      <c r="Y44" s="29">
        <f t="shared" si="137"/>
        <v>36.92</v>
      </c>
      <c r="Z44" s="29">
        <f t="shared" si="138"/>
        <v>2064</v>
      </c>
      <c r="AA44" s="29">
        <f t="shared" si="147"/>
        <v>1980.2895008</v>
      </c>
      <c r="AB44" s="29">
        <f t="shared" si="148"/>
        <v>218202.34582080005</v>
      </c>
      <c r="AC44" s="3">
        <f t="shared" si="151"/>
        <v>0.5</v>
      </c>
      <c r="AD44" s="29">
        <f t="shared" si="149"/>
        <v>436404.6916416001</v>
      </c>
    </row>
    <row r="45" spans="1:30" ht="15" customHeight="1" x14ac:dyDescent="0.25">
      <c r="A45" s="205" t="s">
        <v>954</v>
      </c>
      <c r="B45" t="s">
        <v>1011</v>
      </c>
      <c r="C45" t="s">
        <v>1012</v>
      </c>
      <c r="D45"/>
      <c r="E45" t="s">
        <v>3</v>
      </c>
      <c r="F45" t="s">
        <v>40</v>
      </c>
      <c r="G45" t="s">
        <v>938</v>
      </c>
      <c r="H45" t="s">
        <v>11</v>
      </c>
      <c r="I45">
        <v>81.61</v>
      </c>
      <c r="J45" s="3">
        <v>0.5</v>
      </c>
      <c r="K45" t="s">
        <v>447</v>
      </c>
      <c r="L45" s="2" t="s">
        <v>384</v>
      </c>
      <c r="M45" s="3">
        <v>1</v>
      </c>
      <c r="O45" t="s">
        <v>424</v>
      </c>
      <c r="P45" s="40">
        <f t="shared" si="95"/>
        <v>1</v>
      </c>
      <c r="Q45" s="29">
        <f t="shared" si="150"/>
        <v>81.61</v>
      </c>
      <c r="S45" s="29">
        <f t="shared" si="142"/>
        <v>169748.80000000002</v>
      </c>
      <c r="T45" s="29">
        <f t="shared" si="143"/>
        <v>14140.075040000002</v>
      </c>
      <c r="U45" s="29">
        <f t="shared" si="144"/>
        <v>14140.075040000002</v>
      </c>
      <c r="V45" s="29">
        <f t="shared" si="145"/>
        <v>1697.4880000000003</v>
      </c>
      <c r="W45" s="29">
        <f t="shared" si="135"/>
        <v>14089.150400000002</v>
      </c>
      <c r="X45" s="29">
        <f t="shared" si="146"/>
        <v>305.54784000000001</v>
      </c>
      <c r="Y45" s="29">
        <f t="shared" si="137"/>
        <v>36.92</v>
      </c>
      <c r="Z45" s="29">
        <f t="shared" si="138"/>
        <v>2064</v>
      </c>
      <c r="AA45" s="29">
        <f t="shared" si="147"/>
        <v>1980.2895008</v>
      </c>
      <c r="AB45" s="29">
        <f t="shared" si="148"/>
        <v>218202.34582080005</v>
      </c>
      <c r="AC45" s="3">
        <f t="shared" si="151"/>
        <v>0.5</v>
      </c>
      <c r="AD45" s="29">
        <f t="shared" si="149"/>
        <v>436404.6916416001</v>
      </c>
    </row>
    <row r="46" spans="1:30" ht="15" customHeight="1" x14ac:dyDescent="0.25">
      <c r="A46" s="205" t="s">
        <v>1105</v>
      </c>
      <c r="B46" t="s">
        <v>1060</v>
      </c>
      <c r="C46" t="s">
        <v>1061</v>
      </c>
      <c r="D46"/>
      <c r="E46" t="s">
        <v>3</v>
      </c>
      <c r="F46" t="s">
        <v>40</v>
      </c>
      <c r="G46" t="s">
        <v>104</v>
      </c>
      <c r="H46" t="s">
        <v>11</v>
      </c>
      <c r="I46">
        <v>81.61</v>
      </c>
      <c r="J46" s="3">
        <v>0.5</v>
      </c>
      <c r="K46" t="s">
        <v>447</v>
      </c>
      <c r="L46" s="2" t="s">
        <v>384</v>
      </c>
      <c r="M46" s="3">
        <v>1</v>
      </c>
      <c r="O46" t="s">
        <v>424</v>
      </c>
      <c r="P46" s="40">
        <f t="shared" si="95"/>
        <v>1</v>
      </c>
      <c r="Q46" s="29">
        <f t="shared" si="150"/>
        <v>81.61</v>
      </c>
      <c r="S46" s="29">
        <f t="shared" si="142"/>
        <v>169748.80000000002</v>
      </c>
      <c r="T46" s="29">
        <f t="shared" si="143"/>
        <v>14140.075040000002</v>
      </c>
      <c r="U46" s="29">
        <f t="shared" si="144"/>
        <v>14140.075040000002</v>
      </c>
      <c r="V46" s="29">
        <f t="shared" si="145"/>
        <v>1697.4880000000003</v>
      </c>
      <c r="W46" s="29">
        <f t="shared" si="135"/>
        <v>14089.150400000002</v>
      </c>
      <c r="X46" s="29">
        <f t="shared" si="146"/>
        <v>305.54784000000001</v>
      </c>
      <c r="Y46" s="29">
        <f t="shared" si="137"/>
        <v>36.92</v>
      </c>
      <c r="Z46" s="29">
        <f t="shared" si="138"/>
        <v>2064</v>
      </c>
      <c r="AA46" s="29">
        <f t="shared" si="147"/>
        <v>1980.2895008</v>
      </c>
      <c r="AB46" s="29">
        <f t="shared" si="148"/>
        <v>218202.34582080005</v>
      </c>
      <c r="AC46" s="3">
        <f t="shared" si="151"/>
        <v>0.5</v>
      </c>
      <c r="AD46" s="29">
        <f t="shared" si="149"/>
        <v>436404.6916416001</v>
      </c>
    </row>
    <row r="47" spans="1:30" ht="15" customHeight="1" x14ac:dyDescent="0.25">
      <c r="A47" s="205" t="s">
        <v>272</v>
      </c>
      <c r="B47" t="s">
        <v>273</v>
      </c>
      <c r="C47" t="s">
        <v>274</v>
      </c>
      <c r="D47"/>
      <c r="E47" t="s">
        <v>3</v>
      </c>
      <c r="F47" t="s">
        <v>40</v>
      </c>
      <c r="G47" t="s">
        <v>104</v>
      </c>
      <c r="H47" t="s">
        <v>11</v>
      </c>
      <c r="I47">
        <v>75.430000000000007</v>
      </c>
      <c r="J47" s="3">
        <v>0.5</v>
      </c>
      <c r="K47" t="s">
        <v>447</v>
      </c>
      <c r="L47" s="2" t="s">
        <v>384</v>
      </c>
      <c r="M47" s="3">
        <v>1</v>
      </c>
      <c r="O47" t="s">
        <v>424</v>
      </c>
      <c r="P47" s="40">
        <f t="shared" ref="P47" si="152">+M47</f>
        <v>1</v>
      </c>
      <c r="Q47" s="29">
        <f t="shared" ref="Q47" si="153">+I47*P47</f>
        <v>75.430000000000007</v>
      </c>
      <c r="S47" s="29">
        <f t="shared" ref="S47" si="154">+Q47*40*52</f>
        <v>156894.40000000002</v>
      </c>
      <c r="T47" s="29">
        <f t="shared" ref="T47" si="155">+S47*0.0833</f>
        <v>13069.303520000001</v>
      </c>
      <c r="U47" s="29">
        <f t="shared" ref="U47" si="156">+T47</f>
        <v>13069.303520000001</v>
      </c>
      <c r="V47" s="29">
        <f t="shared" ref="V47" si="157">+S47*0.01</f>
        <v>1568.9440000000002</v>
      </c>
      <c r="W47" s="29">
        <f t="shared" si="135"/>
        <v>13022.235200000003</v>
      </c>
      <c r="X47" s="29">
        <f t="shared" ref="X47" si="158">+S47*0.0018</f>
        <v>282.40992000000006</v>
      </c>
      <c r="Y47" s="29">
        <f t="shared" ref="Y47" si="159">0.71*52*P47</f>
        <v>36.92</v>
      </c>
      <c r="Z47" s="29">
        <f t="shared" ref="Z47" si="160">172*12*P47</f>
        <v>2064</v>
      </c>
      <c r="AA47" s="29">
        <f t="shared" ref="AA47" si="161">+(S47+T47+U47)*0.01</f>
        <v>1830.3300704000005</v>
      </c>
      <c r="AB47" s="29">
        <f t="shared" ref="AB47" si="162">SUM(S47:AA47)</f>
        <v>201837.84623040006</v>
      </c>
      <c r="AC47" s="3">
        <f t="shared" ref="AC47" si="163">IF(+J47&gt;0,J47,AC46)</f>
        <v>0.5</v>
      </c>
      <c r="AD47" s="29">
        <f t="shared" ref="AD47" si="164">+AB47/AC47</f>
        <v>403675.69246080011</v>
      </c>
    </row>
    <row r="48" spans="1:30" ht="15" customHeight="1" x14ac:dyDescent="0.25">
      <c r="L48" s="1"/>
    </row>
    <row r="49" spans="1:30" ht="15" customHeight="1" x14ac:dyDescent="0.25">
      <c r="L49" s="2"/>
    </row>
    <row r="50" spans="1:30" ht="15" customHeight="1" thickBot="1" x14ac:dyDescent="0.3">
      <c r="A50" s="174" t="s">
        <v>20</v>
      </c>
      <c r="L50" s="7"/>
      <c r="R50" s="34"/>
    </row>
    <row r="51" spans="1:30" ht="15" customHeight="1" thickBot="1" x14ac:dyDescent="0.3">
      <c r="A51" s="206" t="s">
        <v>50</v>
      </c>
      <c r="B51" t="s">
        <v>51</v>
      </c>
      <c r="C51" t="s">
        <v>52</v>
      </c>
      <c r="E51" t="s">
        <v>3</v>
      </c>
      <c r="F51" t="s">
        <v>40</v>
      </c>
      <c r="G51" t="s">
        <v>1070</v>
      </c>
      <c r="H51" s="6" t="s">
        <v>20</v>
      </c>
      <c r="I51">
        <v>78.33</v>
      </c>
      <c r="J51" s="3">
        <v>0.75</v>
      </c>
      <c r="K51" t="s">
        <v>447</v>
      </c>
      <c r="L51" s="1" t="s">
        <v>397</v>
      </c>
      <c r="M51" s="3">
        <v>1</v>
      </c>
      <c r="O51" s="17" t="s">
        <v>414</v>
      </c>
      <c r="P51" s="40">
        <f t="shared" ref="P51:P56" si="165">+M51</f>
        <v>1</v>
      </c>
      <c r="Q51" s="29">
        <f t="shared" ref="Q51:Q56" si="166">+P51*I51</f>
        <v>78.33</v>
      </c>
      <c r="R51" s="34"/>
      <c r="S51" s="29">
        <f t="shared" ref="S51:S56" si="167">+Q51*40*52</f>
        <v>162926.39999999999</v>
      </c>
      <c r="T51" s="29">
        <f t="shared" ref="T51:T56" si="168">+S51*0.0833</f>
        <v>13571.769119999999</v>
      </c>
      <c r="U51" s="29">
        <f t="shared" ref="U51:U56" si="169">+T51</f>
        <v>13571.769119999999</v>
      </c>
      <c r="V51" s="29">
        <f t="shared" ref="V51:V56" si="170">+S51*0.01</f>
        <v>1629.2639999999999</v>
      </c>
      <c r="W51" s="29">
        <f t="shared" ref="W51:W56" si="171">+S51*0.083</f>
        <v>13522.8912</v>
      </c>
      <c r="X51" s="29">
        <f t="shared" ref="X51:X56" si="172">+S51*0.0018</f>
        <v>293.26751999999999</v>
      </c>
      <c r="Y51" s="29">
        <f t="shared" ref="Y51:Y56" si="173">0.71*52*P51</f>
        <v>36.92</v>
      </c>
      <c r="Z51" s="29">
        <f t="shared" ref="Z51:Z56" si="174">172*12*P51</f>
        <v>2064</v>
      </c>
      <c r="AA51" s="29">
        <f t="shared" ref="AA51:AA56" si="175">+(S51+T51+U51)*0.01</f>
        <v>1900.6993824000001</v>
      </c>
      <c r="AB51" s="29">
        <f t="shared" ref="AB51:AB56" si="176">SUM(S51:AA51)</f>
        <v>209516.98034240003</v>
      </c>
      <c r="AC51" s="3">
        <f t="shared" ref="AC51:AC56" si="177">IF(+J51&gt;0,J51,AC50)</f>
        <v>0.75</v>
      </c>
      <c r="AD51" s="29">
        <f t="shared" ref="AD51:AD56" si="178">+AB51/AC51</f>
        <v>279355.97378986672</v>
      </c>
    </row>
    <row r="52" spans="1:30" ht="15" customHeight="1" thickBot="1" x14ac:dyDescent="0.3">
      <c r="A52" s="206" t="s">
        <v>59</v>
      </c>
      <c r="B52" t="s">
        <v>60</v>
      </c>
      <c r="C52" t="s">
        <v>61</v>
      </c>
      <c r="E52" t="s">
        <v>3</v>
      </c>
      <c r="F52" t="s">
        <v>4</v>
      </c>
      <c r="G52" t="s">
        <v>1071</v>
      </c>
      <c r="H52" s="6" t="s">
        <v>20</v>
      </c>
      <c r="I52">
        <v>78.33</v>
      </c>
      <c r="J52" s="3">
        <v>0.5</v>
      </c>
      <c r="K52" t="s">
        <v>447</v>
      </c>
      <c r="L52" s="7" t="s">
        <v>1428</v>
      </c>
      <c r="M52" s="3">
        <v>1</v>
      </c>
      <c r="O52" s="17" t="s">
        <v>410</v>
      </c>
      <c r="P52" s="40">
        <f t="shared" si="165"/>
        <v>1</v>
      </c>
      <c r="Q52" s="29">
        <f t="shared" si="166"/>
        <v>78.33</v>
      </c>
      <c r="R52" s="34"/>
      <c r="S52" s="29">
        <f t="shared" si="167"/>
        <v>162926.39999999999</v>
      </c>
      <c r="T52" s="29">
        <f t="shared" si="168"/>
        <v>13571.769119999999</v>
      </c>
      <c r="U52" s="29">
        <f t="shared" si="169"/>
        <v>13571.769119999999</v>
      </c>
      <c r="V52" s="29">
        <f t="shared" si="170"/>
        <v>1629.2639999999999</v>
      </c>
      <c r="W52" s="29">
        <f t="shared" si="171"/>
        <v>13522.8912</v>
      </c>
      <c r="X52" s="29">
        <f t="shared" si="172"/>
        <v>293.26751999999999</v>
      </c>
      <c r="Y52" s="29">
        <f t="shared" si="173"/>
        <v>36.92</v>
      </c>
      <c r="Z52" s="29">
        <f t="shared" si="174"/>
        <v>2064</v>
      </c>
      <c r="AA52" s="29">
        <f t="shared" si="175"/>
        <v>1900.6993824000001</v>
      </c>
      <c r="AB52" s="29">
        <f t="shared" si="176"/>
        <v>209516.98034240003</v>
      </c>
      <c r="AC52" s="3">
        <f t="shared" si="177"/>
        <v>0.5</v>
      </c>
      <c r="AD52" s="29">
        <f t="shared" si="178"/>
        <v>419033.96068480005</v>
      </c>
    </row>
    <row r="53" spans="1:30" ht="15" customHeight="1" thickBot="1" x14ac:dyDescent="0.3">
      <c r="A53" s="205" t="s">
        <v>1522</v>
      </c>
      <c r="B53" t="s">
        <v>1523</v>
      </c>
      <c r="E53" t="s">
        <v>3</v>
      </c>
      <c r="F53" t="s">
        <v>4</v>
      </c>
      <c r="G53" t="s">
        <v>1071</v>
      </c>
      <c r="H53" s="6" t="s">
        <v>20</v>
      </c>
      <c r="I53">
        <v>72.849999999999994</v>
      </c>
      <c r="J53" s="3">
        <v>0.5</v>
      </c>
      <c r="K53" t="s">
        <v>447</v>
      </c>
      <c r="L53" s="7" t="s">
        <v>1428</v>
      </c>
      <c r="M53" s="3">
        <v>1</v>
      </c>
      <c r="O53" s="17" t="s">
        <v>410</v>
      </c>
      <c r="P53" s="40">
        <f t="shared" si="165"/>
        <v>1</v>
      </c>
      <c r="Q53" s="29">
        <f t="shared" si="166"/>
        <v>72.849999999999994</v>
      </c>
      <c r="R53" s="34"/>
      <c r="S53" s="29">
        <f t="shared" si="167"/>
        <v>151528</v>
      </c>
      <c r="T53" s="29">
        <f t="shared" si="168"/>
        <v>12622.2824</v>
      </c>
      <c r="U53" s="29">
        <f t="shared" si="169"/>
        <v>12622.2824</v>
      </c>
      <c r="V53" s="29">
        <f t="shared" si="170"/>
        <v>1515.28</v>
      </c>
      <c r="W53" s="29">
        <f t="shared" si="171"/>
        <v>12576.824000000001</v>
      </c>
      <c r="X53" s="29">
        <f t="shared" si="172"/>
        <v>272.75040000000001</v>
      </c>
      <c r="Y53" s="29">
        <f t="shared" si="173"/>
        <v>36.92</v>
      </c>
      <c r="Z53" s="29">
        <f t="shared" si="174"/>
        <v>2064</v>
      </c>
      <c r="AA53" s="29">
        <f t="shared" si="175"/>
        <v>1767.7256479999999</v>
      </c>
      <c r="AB53" s="29">
        <f t="shared" si="176"/>
        <v>195006.06484799998</v>
      </c>
      <c r="AC53" s="3">
        <f t="shared" si="177"/>
        <v>0.5</v>
      </c>
      <c r="AD53" s="29">
        <f t="shared" si="178"/>
        <v>390012.12969599996</v>
      </c>
    </row>
    <row r="54" spans="1:30" ht="15" customHeight="1" thickBot="1" x14ac:dyDescent="0.3">
      <c r="A54" t="s">
        <v>1541</v>
      </c>
      <c r="B54" t="s">
        <v>1542</v>
      </c>
      <c r="C54" s="58"/>
      <c r="E54" t="s">
        <v>68</v>
      </c>
      <c r="F54" t="s">
        <v>4</v>
      </c>
      <c r="G54" t="s">
        <v>1072</v>
      </c>
      <c r="H54" s="6" t="s">
        <v>20</v>
      </c>
      <c r="I54">
        <v>69.66</v>
      </c>
      <c r="J54" s="3">
        <v>0.5</v>
      </c>
      <c r="K54" t="s">
        <v>447</v>
      </c>
      <c r="L54" s="7" t="s">
        <v>397</v>
      </c>
      <c r="M54" s="3">
        <v>1</v>
      </c>
      <c r="O54" s="17" t="s">
        <v>414</v>
      </c>
      <c r="P54" s="40">
        <f t="shared" ref="P54" si="179">+M54</f>
        <v>1</v>
      </c>
      <c r="Q54" s="29">
        <f t="shared" ref="Q54" si="180">+P54*I54</f>
        <v>69.66</v>
      </c>
      <c r="R54" s="34"/>
      <c r="S54" s="29">
        <f t="shared" ref="S54" si="181">+Q54*40*52</f>
        <v>144892.79999999999</v>
      </c>
      <c r="T54" s="29">
        <f t="shared" ref="T54" si="182">+S54*0.0833</f>
        <v>12069.570239999999</v>
      </c>
      <c r="U54" s="29">
        <f t="shared" ref="U54" si="183">+T54</f>
        <v>12069.570239999999</v>
      </c>
      <c r="V54" s="29">
        <f t="shared" ref="V54" si="184">+S54*0.01</f>
        <v>1448.9279999999999</v>
      </c>
      <c r="W54" s="29">
        <f t="shared" si="171"/>
        <v>12026.1024</v>
      </c>
      <c r="X54" s="29">
        <f t="shared" ref="X54" si="185">+S54*0.0018</f>
        <v>260.80703999999997</v>
      </c>
      <c r="Y54" s="29">
        <f t="shared" ref="Y54" si="186">0.71*52*P54</f>
        <v>36.92</v>
      </c>
      <c r="Z54" s="29">
        <f t="shared" ref="Z54" si="187">172*12*P54</f>
        <v>2064</v>
      </c>
      <c r="AA54" s="29">
        <f t="shared" ref="AA54" si="188">+(S54+T54+U54)*0.01</f>
        <v>1690.3194048</v>
      </c>
      <c r="AB54" s="29">
        <f t="shared" ref="AB54" si="189">SUM(S54:AA54)</f>
        <v>186559.01732480002</v>
      </c>
      <c r="AC54" s="3">
        <f>IF(+J54&gt;0,J54,AC52)</f>
        <v>0.5</v>
      </c>
      <c r="AD54" s="29">
        <f t="shared" ref="AD54" si="190">+AB54/AC54</f>
        <v>373118.03464960004</v>
      </c>
    </row>
    <row r="55" spans="1:30" ht="15" customHeight="1" thickBot="1" x14ac:dyDescent="0.3">
      <c r="A55" s="206" t="s">
        <v>124</v>
      </c>
      <c r="B55" t="s">
        <v>125</v>
      </c>
      <c r="C55" s="58" t="s">
        <v>126</v>
      </c>
      <c r="E55" t="s">
        <v>68</v>
      </c>
      <c r="F55" t="s">
        <v>4</v>
      </c>
      <c r="G55" t="s">
        <v>1072</v>
      </c>
      <c r="H55" s="6" t="s">
        <v>20</v>
      </c>
      <c r="I55">
        <v>78.33</v>
      </c>
      <c r="J55" s="3">
        <v>0.5</v>
      </c>
      <c r="K55" t="s">
        <v>447</v>
      </c>
      <c r="L55" s="7" t="s">
        <v>397</v>
      </c>
      <c r="M55" s="3">
        <v>1</v>
      </c>
      <c r="O55" s="17" t="s">
        <v>414</v>
      </c>
      <c r="P55" s="40">
        <f t="shared" si="165"/>
        <v>1</v>
      </c>
      <c r="Q55" s="29">
        <f t="shared" si="166"/>
        <v>78.33</v>
      </c>
      <c r="R55" s="34"/>
      <c r="S55" s="29">
        <f t="shared" si="167"/>
        <v>162926.39999999999</v>
      </c>
      <c r="T55" s="29">
        <f t="shared" si="168"/>
        <v>13571.769119999999</v>
      </c>
      <c r="U55" s="29">
        <f t="shared" si="169"/>
        <v>13571.769119999999</v>
      </c>
      <c r="V55" s="29">
        <f t="shared" si="170"/>
        <v>1629.2639999999999</v>
      </c>
      <c r="W55" s="29">
        <f t="shared" si="171"/>
        <v>13522.8912</v>
      </c>
      <c r="X55" s="29">
        <f t="shared" si="172"/>
        <v>293.26751999999999</v>
      </c>
      <c r="Y55" s="29">
        <f t="shared" si="173"/>
        <v>36.92</v>
      </c>
      <c r="Z55" s="29">
        <f t="shared" si="174"/>
        <v>2064</v>
      </c>
      <c r="AA55" s="29">
        <f t="shared" si="175"/>
        <v>1900.6993824000001</v>
      </c>
      <c r="AB55" s="29">
        <f t="shared" si="176"/>
        <v>209516.98034240003</v>
      </c>
      <c r="AC55" s="3">
        <f>IF(+J55&gt;0,J55,AC53)</f>
        <v>0.5</v>
      </c>
      <c r="AD55" s="29">
        <f t="shared" si="178"/>
        <v>419033.96068480005</v>
      </c>
    </row>
    <row r="56" spans="1:30" ht="15" customHeight="1" thickBot="1" x14ac:dyDescent="0.3">
      <c r="A56" s="205" t="s">
        <v>167</v>
      </c>
      <c r="B56" t="s">
        <v>168</v>
      </c>
      <c r="C56" t="s">
        <v>169</v>
      </c>
      <c r="E56" t="s">
        <v>3</v>
      </c>
      <c r="F56" t="s">
        <v>4</v>
      </c>
      <c r="G56" t="s">
        <v>1071</v>
      </c>
      <c r="H56" s="6" t="s">
        <v>20</v>
      </c>
      <c r="I56">
        <v>75.430000000000007</v>
      </c>
      <c r="J56" s="3">
        <v>0.5</v>
      </c>
      <c r="K56" t="s">
        <v>447</v>
      </c>
      <c r="L56" s="7" t="s">
        <v>397</v>
      </c>
      <c r="M56" s="3">
        <v>1</v>
      </c>
      <c r="O56" s="17" t="s">
        <v>414</v>
      </c>
      <c r="P56" s="40">
        <f t="shared" si="165"/>
        <v>1</v>
      </c>
      <c r="Q56" s="29">
        <f t="shared" si="166"/>
        <v>75.430000000000007</v>
      </c>
      <c r="R56" s="34"/>
      <c r="S56" s="29">
        <f t="shared" si="167"/>
        <v>156894.40000000002</v>
      </c>
      <c r="T56" s="29">
        <f t="shared" si="168"/>
        <v>13069.303520000001</v>
      </c>
      <c r="U56" s="29">
        <f t="shared" si="169"/>
        <v>13069.303520000001</v>
      </c>
      <c r="V56" s="29">
        <f t="shared" si="170"/>
        <v>1568.9440000000002</v>
      </c>
      <c r="W56" s="29">
        <f t="shared" si="171"/>
        <v>13022.235200000003</v>
      </c>
      <c r="X56" s="29">
        <f t="shared" si="172"/>
        <v>282.40992000000006</v>
      </c>
      <c r="Y56" s="29">
        <f t="shared" si="173"/>
        <v>36.92</v>
      </c>
      <c r="Z56" s="29">
        <f t="shared" si="174"/>
        <v>2064</v>
      </c>
      <c r="AA56" s="29">
        <f t="shared" si="175"/>
        <v>1830.3300704000005</v>
      </c>
      <c r="AB56" s="29">
        <f t="shared" si="176"/>
        <v>201837.84623040006</v>
      </c>
      <c r="AC56" s="3">
        <f t="shared" si="177"/>
        <v>0.5</v>
      </c>
      <c r="AD56" s="29">
        <f t="shared" si="178"/>
        <v>403675.69246080011</v>
      </c>
    </row>
    <row r="57" spans="1:30" ht="15" customHeight="1" x14ac:dyDescent="0.25">
      <c r="H57" s="6"/>
      <c r="L57" s="7"/>
      <c r="O57" s="5"/>
    </row>
    <row r="58" spans="1:30" ht="15" customHeight="1" x14ac:dyDescent="0.25">
      <c r="A58" s="127" t="s">
        <v>846</v>
      </c>
      <c r="L58" s="2"/>
    </row>
    <row r="59" spans="1:30" ht="15" customHeight="1" x14ac:dyDescent="0.25">
      <c r="L59" s="2"/>
    </row>
    <row r="60" spans="1:30" ht="15" customHeight="1" x14ac:dyDescent="0.25">
      <c r="A60" s="205" t="s">
        <v>174</v>
      </c>
      <c r="B60" t="s">
        <v>175</v>
      </c>
      <c r="C60" t="s">
        <v>19</v>
      </c>
      <c r="E60" t="s">
        <v>3</v>
      </c>
      <c r="F60" t="s">
        <v>4</v>
      </c>
      <c r="G60" t="s">
        <v>1073</v>
      </c>
      <c r="H60" s="6" t="s">
        <v>6</v>
      </c>
      <c r="I60">
        <v>75.430000000000007</v>
      </c>
      <c r="J60" s="3">
        <v>0.5</v>
      </c>
      <c r="K60" t="s">
        <v>447</v>
      </c>
      <c r="L60" s="7" t="s">
        <v>383</v>
      </c>
      <c r="M60" s="3">
        <v>1</v>
      </c>
      <c r="O60" t="s">
        <v>426</v>
      </c>
      <c r="P60" s="40">
        <f t="shared" ref="P60" si="191">+M60</f>
        <v>1</v>
      </c>
      <c r="Q60" s="29">
        <f t="shared" ref="Q60" si="192">+I60*P60</f>
        <v>75.430000000000007</v>
      </c>
      <c r="S60" s="29">
        <f t="shared" ref="S60" si="193">+Q60*40*52</f>
        <v>156894.40000000002</v>
      </c>
      <c r="T60" s="29">
        <f t="shared" ref="T60" si="194">+S60*0.0833</f>
        <v>13069.303520000001</v>
      </c>
      <c r="U60" s="29">
        <f t="shared" ref="U60" si="195">+T60</f>
        <v>13069.303520000001</v>
      </c>
      <c r="V60" s="29">
        <f t="shared" ref="V60" si="196">+S60*0.01</f>
        <v>1568.9440000000002</v>
      </c>
      <c r="W60" s="29">
        <f t="shared" ref="W60" si="197">+S60*0.083</f>
        <v>13022.235200000003</v>
      </c>
      <c r="X60" s="29">
        <f t="shared" ref="X60" si="198">+S60*0.0018</f>
        <v>282.40992000000006</v>
      </c>
      <c r="Y60" s="29">
        <f t="shared" ref="Y60" si="199">0.71*52*P60</f>
        <v>36.92</v>
      </c>
      <c r="Z60" s="29">
        <f t="shared" ref="Z60" si="200">172*12*P60</f>
        <v>2064</v>
      </c>
      <c r="AA60" s="29">
        <f t="shared" ref="AA60" si="201">+(S60+T60+U60)*0.01</f>
        <v>1830.3300704000005</v>
      </c>
      <c r="AB60" s="29">
        <f t="shared" ref="AB60" si="202">SUM(S60:AA60)</f>
        <v>201837.84623040006</v>
      </c>
      <c r="AC60" s="3">
        <f>IF(+J60&gt;0,J60,#REF!)</f>
        <v>0.5</v>
      </c>
      <c r="AD60" s="29">
        <f t="shared" ref="AD60" si="203">+AB60/AC60</f>
        <v>403675.69246080011</v>
      </c>
    </row>
    <row r="61" spans="1:30" ht="15" customHeight="1" x14ac:dyDescent="0.25">
      <c r="H61" s="6"/>
      <c r="L61" s="1"/>
      <c r="O61" s="4"/>
    </row>
    <row r="62" spans="1:30" ht="15" customHeight="1" x14ac:dyDescent="0.25">
      <c r="A62" s="205" t="s">
        <v>329</v>
      </c>
      <c r="B62" t="s">
        <v>102</v>
      </c>
      <c r="C62" t="s">
        <v>330</v>
      </c>
      <c r="E62" t="s">
        <v>3</v>
      </c>
      <c r="F62" t="s">
        <v>4</v>
      </c>
      <c r="G62" t="s">
        <v>1073</v>
      </c>
      <c r="H62" s="6" t="s">
        <v>6</v>
      </c>
      <c r="I62">
        <v>75.430000000000007</v>
      </c>
      <c r="J62" s="3">
        <v>0.5</v>
      </c>
      <c r="K62" t="s">
        <v>447</v>
      </c>
      <c r="L62" s="1" t="s">
        <v>383</v>
      </c>
      <c r="M62" s="3">
        <v>1</v>
      </c>
      <c r="O62" s="4" t="s">
        <v>426</v>
      </c>
      <c r="P62" s="40">
        <f t="shared" ref="P62:P63" si="204">+M62</f>
        <v>1</v>
      </c>
      <c r="Q62" s="29">
        <f>+I62*P62</f>
        <v>75.430000000000007</v>
      </c>
      <c r="S62" s="29">
        <f t="shared" ref="S62:S63" si="205">+Q62*40*52</f>
        <v>156894.40000000002</v>
      </c>
      <c r="T62" s="29">
        <f t="shared" ref="T62:T63" si="206">+S62*0.0833</f>
        <v>13069.303520000001</v>
      </c>
      <c r="U62" s="29">
        <f t="shared" ref="U62:U63" si="207">+T62</f>
        <v>13069.303520000001</v>
      </c>
      <c r="V62" s="29">
        <f t="shared" ref="V62:V63" si="208">+S62*0.01</f>
        <v>1568.9440000000002</v>
      </c>
      <c r="W62" s="29">
        <f t="shared" ref="W62" si="209">+S62*0.083</f>
        <v>13022.235200000003</v>
      </c>
      <c r="X62" s="29">
        <f t="shared" ref="X62:X63" si="210">+S62*0.0018</f>
        <v>282.40992000000006</v>
      </c>
      <c r="Y62" s="29">
        <f t="shared" ref="Y62:Y63" si="211">0.71*52*P62</f>
        <v>36.92</v>
      </c>
      <c r="Z62" s="29">
        <f t="shared" ref="Z62:Z63" si="212">172*12*P62</f>
        <v>2064</v>
      </c>
      <c r="AA62" s="29">
        <f t="shared" ref="AA62:AA63" si="213">+(S62+T62+U62)*0.01</f>
        <v>1830.3300704000005</v>
      </c>
      <c r="AB62" s="29">
        <f t="shared" ref="AB62:AB63" si="214">SUM(S62:AA62)</f>
        <v>201837.84623040006</v>
      </c>
      <c r="AC62" s="3">
        <f t="shared" ref="AC62:AC63" si="215">IF(+J62&gt;0,J62,AC61)</f>
        <v>0.5</v>
      </c>
      <c r="AD62" s="29">
        <f t="shared" ref="AD62:AD63" si="216">+AB62/AC62</f>
        <v>403675.69246080011</v>
      </c>
    </row>
    <row r="63" spans="1:30" ht="15" customHeight="1" x14ac:dyDescent="0.25">
      <c r="H63" s="6"/>
      <c r="L63" s="1" t="s">
        <v>381</v>
      </c>
      <c r="M63" s="3">
        <v>0</v>
      </c>
      <c r="O63" s="4" t="s">
        <v>427</v>
      </c>
      <c r="P63" s="40">
        <f t="shared" si="204"/>
        <v>0</v>
      </c>
      <c r="Q63" s="29">
        <f>+I62*P63</f>
        <v>0</v>
      </c>
      <c r="S63" s="29">
        <f t="shared" si="205"/>
        <v>0</v>
      </c>
      <c r="T63" s="29">
        <f t="shared" si="206"/>
        <v>0</v>
      </c>
      <c r="U63" s="29">
        <f t="shared" si="207"/>
        <v>0</v>
      </c>
      <c r="V63" s="29">
        <f t="shared" si="208"/>
        <v>0</v>
      </c>
      <c r="W63" s="29">
        <f>+S63*0.075</f>
        <v>0</v>
      </c>
      <c r="X63" s="29">
        <f t="shared" si="210"/>
        <v>0</v>
      </c>
      <c r="Y63" s="29">
        <f t="shared" si="211"/>
        <v>0</v>
      </c>
      <c r="Z63" s="29">
        <f t="shared" si="212"/>
        <v>0</v>
      </c>
      <c r="AA63" s="29">
        <f t="shared" si="213"/>
        <v>0</v>
      </c>
      <c r="AB63" s="29">
        <f t="shared" si="214"/>
        <v>0</v>
      </c>
      <c r="AC63" s="3">
        <f t="shared" si="215"/>
        <v>0.5</v>
      </c>
      <c r="AD63" s="29">
        <f t="shared" si="216"/>
        <v>0</v>
      </c>
    </row>
    <row r="64" spans="1:30" ht="15" customHeight="1" x14ac:dyDescent="0.25">
      <c r="H64" s="6"/>
      <c r="L64" s="1"/>
      <c r="O64" s="4"/>
    </row>
    <row r="65" spans="1:30" ht="15" customHeight="1" x14ac:dyDescent="0.25">
      <c r="A65" t="s">
        <v>948</v>
      </c>
      <c r="B65" t="s">
        <v>1502</v>
      </c>
      <c r="E65" t="s">
        <v>3</v>
      </c>
      <c r="F65" t="s">
        <v>4</v>
      </c>
      <c r="G65" t="s">
        <v>1074</v>
      </c>
      <c r="H65" s="6" t="s">
        <v>6</v>
      </c>
      <c r="I65">
        <v>72.849999999999994</v>
      </c>
      <c r="J65" s="3">
        <v>0.5</v>
      </c>
      <c r="K65" t="s">
        <v>447</v>
      </c>
      <c r="L65" s="1" t="s">
        <v>381</v>
      </c>
      <c r="M65" s="3">
        <v>1</v>
      </c>
      <c r="O65" t="s">
        <v>427</v>
      </c>
      <c r="P65" s="40">
        <f t="shared" ref="P65" si="217">+M65</f>
        <v>1</v>
      </c>
      <c r="Q65" s="29">
        <f t="shared" ref="Q65" si="218">+I65*P65</f>
        <v>72.849999999999994</v>
      </c>
      <c r="S65" s="29">
        <f t="shared" ref="S65" si="219">+Q65*40*52</f>
        <v>151528</v>
      </c>
      <c r="T65" s="29">
        <f t="shared" ref="T65" si="220">+S65*0.0833</f>
        <v>12622.2824</v>
      </c>
      <c r="U65" s="29">
        <f t="shared" ref="U65" si="221">+T65</f>
        <v>12622.2824</v>
      </c>
      <c r="V65" s="29">
        <f t="shared" ref="V65" si="222">+S65*0.01</f>
        <v>1515.28</v>
      </c>
      <c r="W65" s="29">
        <f t="shared" ref="W65" si="223">+S65*0.083</f>
        <v>12576.824000000001</v>
      </c>
      <c r="X65" s="29">
        <f t="shared" ref="X65" si="224">+S65*0.0018</f>
        <v>272.75040000000001</v>
      </c>
      <c r="Y65" s="29">
        <f t="shared" ref="Y65" si="225">0.71*52*P65</f>
        <v>36.92</v>
      </c>
      <c r="Z65" s="29">
        <f t="shared" ref="Z65" si="226">172*12*P65</f>
        <v>2064</v>
      </c>
      <c r="AA65" s="29">
        <f t="shared" ref="AA65" si="227">+(S65+T65+U65)*0.01</f>
        <v>1767.7256479999999</v>
      </c>
      <c r="AB65" s="29">
        <f t="shared" ref="AB65" si="228">SUM(S65:AA65)</f>
        <v>195006.06484799998</v>
      </c>
      <c r="AC65" s="3">
        <f t="shared" ref="AC65" si="229">IF(+J65&gt;0,J65,AC64)</f>
        <v>0.5</v>
      </c>
      <c r="AD65" s="29">
        <f t="shared" ref="AD65" si="230">+AB65/AC65</f>
        <v>390012.12969599996</v>
      </c>
    </row>
    <row r="66" spans="1:30" ht="15" customHeight="1" x14ac:dyDescent="0.25">
      <c r="H66" s="6"/>
      <c r="L66" s="2"/>
    </row>
    <row r="67" spans="1:30" ht="15" customHeight="1" x14ac:dyDescent="0.25">
      <c r="H67" s="6"/>
      <c r="L67" s="2"/>
    </row>
    <row r="68" spans="1:30" ht="15" customHeight="1" x14ac:dyDescent="0.25">
      <c r="A68" t="s">
        <v>1524</v>
      </c>
      <c r="B68" t="s">
        <v>1525</v>
      </c>
      <c r="E68" t="s">
        <v>3</v>
      </c>
      <c r="F68" t="s">
        <v>4</v>
      </c>
      <c r="G68" t="s">
        <v>1075</v>
      </c>
      <c r="H68" s="6" t="s">
        <v>16</v>
      </c>
      <c r="I68">
        <v>72.849999999999994</v>
      </c>
      <c r="J68" s="3">
        <v>0.5</v>
      </c>
      <c r="K68" t="s">
        <v>447</v>
      </c>
      <c r="L68" s="1" t="s">
        <v>381</v>
      </c>
      <c r="M68" s="3">
        <v>1</v>
      </c>
      <c r="O68" t="s">
        <v>427</v>
      </c>
      <c r="P68" s="40">
        <f t="shared" ref="P68" si="231">+M68</f>
        <v>1</v>
      </c>
      <c r="Q68" s="29">
        <f t="shared" ref="Q68" si="232">+I68*P68</f>
        <v>72.849999999999994</v>
      </c>
      <c r="S68" s="29">
        <f t="shared" ref="S68" si="233">+Q68*40*52</f>
        <v>151528</v>
      </c>
      <c r="T68" s="29">
        <f t="shared" ref="T68" si="234">+S68*0.0833</f>
        <v>12622.2824</v>
      </c>
      <c r="U68" s="29">
        <f t="shared" ref="U68" si="235">+T68</f>
        <v>12622.2824</v>
      </c>
      <c r="V68" s="29">
        <f t="shared" ref="V68" si="236">+S68*0.01</f>
        <v>1515.28</v>
      </c>
      <c r="W68" s="29">
        <f t="shared" ref="W68" si="237">+S68*0.083</f>
        <v>12576.824000000001</v>
      </c>
      <c r="X68" s="29">
        <f t="shared" ref="X68" si="238">+S68*0.0018</f>
        <v>272.75040000000001</v>
      </c>
      <c r="Y68" s="29">
        <f t="shared" ref="Y68" si="239">0.71*52*P68</f>
        <v>36.92</v>
      </c>
      <c r="Z68" s="29">
        <f t="shared" ref="Z68" si="240">172*12*P68</f>
        <v>2064</v>
      </c>
      <c r="AA68" s="29">
        <f t="shared" ref="AA68" si="241">+(S68+T68+U68)*0.01</f>
        <v>1767.7256479999999</v>
      </c>
      <c r="AB68" s="29">
        <f t="shared" ref="AB68" si="242">SUM(S68:AA68)</f>
        <v>195006.06484799998</v>
      </c>
      <c r="AC68" s="3">
        <f t="shared" ref="AC68" si="243">IF(+J68&gt;0,J68,AC67)</f>
        <v>0.5</v>
      </c>
      <c r="AD68" s="29">
        <f t="shared" ref="AD68" si="244">+AB68/AC68</f>
        <v>390012.12969599996</v>
      </c>
    </row>
    <row r="69" spans="1:30" ht="15" customHeight="1" x14ac:dyDescent="0.25">
      <c r="H69" s="6"/>
      <c r="L69" s="2"/>
    </row>
    <row r="70" spans="1:30" ht="15" customHeight="1" x14ac:dyDescent="0.25">
      <c r="A70" s="205" t="s">
        <v>122</v>
      </c>
      <c r="B70" t="s">
        <v>123</v>
      </c>
      <c r="C70" t="s">
        <v>2</v>
      </c>
      <c r="E70" t="s">
        <v>3</v>
      </c>
      <c r="F70" t="s">
        <v>4</v>
      </c>
      <c r="G70" t="s">
        <v>382</v>
      </c>
      <c r="H70" s="6" t="s">
        <v>6</v>
      </c>
      <c r="I70">
        <v>81.61</v>
      </c>
      <c r="J70" s="3">
        <v>0.5</v>
      </c>
      <c r="K70" t="s">
        <v>447</v>
      </c>
      <c r="L70" s="1" t="s">
        <v>382</v>
      </c>
      <c r="M70" s="3">
        <v>1</v>
      </c>
      <c r="O70" t="s">
        <v>428</v>
      </c>
      <c r="P70" s="40">
        <f t="shared" ref="P70:P88" si="245">+M70</f>
        <v>1</v>
      </c>
      <c r="Q70" s="29">
        <f t="shared" ref="Q70" si="246">+I70*P70</f>
        <v>81.61</v>
      </c>
      <c r="S70" s="29">
        <f t="shared" ref="S70" si="247">+Q70*40*52</f>
        <v>169748.80000000002</v>
      </c>
      <c r="T70" s="29">
        <f t="shared" ref="T70" si="248">+S70*0.0833</f>
        <v>14140.075040000002</v>
      </c>
      <c r="U70" s="29">
        <f t="shared" ref="U70" si="249">+T70</f>
        <v>14140.075040000002</v>
      </c>
      <c r="V70" s="29">
        <f t="shared" ref="V70" si="250">+S70*0.01</f>
        <v>1697.4880000000003</v>
      </c>
      <c r="W70" s="29">
        <f t="shared" ref="W70" si="251">+S70*0.083</f>
        <v>14089.150400000002</v>
      </c>
      <c r="X70" s="29">
        <f t="shared" ref="X70" si="252">+S70*0.0018</f>
        <v>305.54784000000001</v>
      </c>
      <c r="Y70" s="29">
        <f t="shared" ref="Y70" si="253">0.71*52*P70</f>
        <v>36.92</v>
      </c>
      <c r="Z70" s="29">
        <f t="shared" ref="Z70" si="254">172*12*P70</f>
        <v>2064</v>
      </c>
      <c r="AA70" s="29">
        <f t="shared" ref="AA70" si="255">+(S70+T70+U70)*0.01</f>
        <v>1980.2895008</v>
      </c>
      <c r="AB70" s="29">
        <f t="shared" ref="AB70" si="256">SUM(S70:AA70)</f>
        <v>218202.34582080005</v>
      </c>
      <c r="AC70" s="3">
        <f t="shared" ref="AC70" si="257">IF(+J70&gt;0,J70,AC69)</f>
        <v>0.5</v>
      </c>
      <c r="AD70" s="29">
        <f t="shared" ref="AD70" si="258">+AB70/AC70</f>
        <v>436404.6916416001</v>
      </c>
    </row>
    <row r="71" spans="1:30" ht="15" customHeight="1" x14ac:dyDescent="0.25">
      <c r="A71" s="205"/>
      <c r="H71" s="6"/>
      <c r="L71" s="1"/>
    </row>
    <row r="72" spans="1:30" ht="15" customHeight="1" x14ac:dyDescent="0.25">
      <c r="A72" t="s">
        <v>1526</v>
      </c>
      <c r="B72" t="s">
        <v>1527</v>
      </c>
      <c r="E72" t="s">
        <v>3</v>
      </c>
      <c r="F72" t="s">
        <v>4</v>
      </c>
      <c r="G72" t="s">
        <v>382</v>
      </c>
      <c r="H72" s="6" t="s">
        <v>6</v>
      </c>
      <c r="I72">
        <v>72.849999999999994</v>
      </c>
      <c r="J72" s="3">
        <v>0.5</v>
      </c>
      <c r="K72" t="s">
        <v>447</v>
      </c>
      <c r="L72" s="1" t="s">
        <v>382</v>
      </c>
      <c r="M72" s="3">
        <v>1</v>
      </c>
      <c r="O72" t="s">
        <v>428</v>
      </c>
      <c r="P72" s="40">
        <f t="shared" ref="P72" si="259">+M72</f>
        <v>1</v>
      </c>
      <c r="Q72" s="29">
        <f t="shared" ref="Q72" si="260">+I72*P72</f>
        <v>72.849999999999994</v>
      </c>
      <c r="S72" s="29">
        <f t="shared" ref="S72" si="261">+Q72*40*52</f>
        <v>151528</v>
      </c>
      <c r="T72" s="29">
        <f t="shared" ref="T72" si="262">+S72*0.0833</f>
        <v>12622.2824</v>
      </c>
      <c r="U72" s="29">
        <f t="shared" ref="U72" si="263">+T72</f>
        <v>12622.2824</v>
      </c>
      <c r="V72" s="29">
        <f t="shared" ref="V72" si="264">+S72*0.01</f>
        <v>1515.28</v>
      </c>
      <c r="W72" s="29">
        <f t="shared" ref="W72" si="265">+S72*0.083</f>
        <v>12576.824000000001</v>
      </c>
      <c r="X72" s="29">
        <f t="shared" ref="X72" si="266">+S72*0.0018</f>
        <v>272.75040000000001</v>
      </c>
      <c r="Y72" s="29">
        <f t="shared" ref="Y72" si="267">0.71*52*P72</f>
        <v>36.92</v>
      </c>
      <c r="Z72" s="29">
        <f t="shared" ref="Z72" si="268">172*12*P72</f>
        <v>2064</v>
      </c>
      <c r="AA72" s="29">
        <f t="shared" ref="AA72" si="269">+(S72+T72+U72)*0.01</f>
        <v>1767.7256479999999</v>
      </c>
      <c r="AB72" s="29">
        <f t="shared" ref="AB72" si="270">SUM(S72:AA72)</f>
        <v>195006.06484799998</v>
      </c>
      <c r="AC72" s="3">
        <f t="shared" ref="AC72" si="271">IF(+J72&gt;0,J72,AC70)</f>
        <v>0.5</v>
      </c>
      <c r="AD72" s="29">
        <f t="shared" ref="AD72" si="272">+AB72/AC72</f>
        <v>390012.12969599996</v>
      </c>
    </row>
    <row r="73" spans="1:30" ht="15" customHeight="1" x14ac:dyDescent="0.25">
      <c r="H73" s="6"/>
      <c r="L73" s="2"/>
    </row>
    <row r="74" spans="1:30" ht="15" customHeight="1" x14ac:dyDescent="0.25">
      <c r="A74" s="205" t="s">
        <v>133</v>
      </c>
      <c r="B74" t="s">
        <v>134</v>
      </c>
      <c r="C74" t="s">
        <v>135</v>
      </c>
      <c r="E74" t="s">
        <v>3</v>
      </c>
      <c r="F74" t="s">
        <v>4</v>
      </c>
      <c r="G74" t="s">
        <v>1076</v>
      </c>
      <c r="H74" s="6" t="s">
        <v>6</v>
      </c>
      <c r="I74">
        <v>78.33</v>
      </c>
      <c r="J74" s="3">
        <v>0.5</v>
      </c>
      <c r="K74" t="s">
        <v>447</v>
      </c>
      <c r="L74" s="1" t="s">
        <v>381</v>
      </c>
      <c r="M74" s="3">
        <v>0.25</v>
      </c>
      <c r="O74" t="s">
        <v>427</v>
      </c>
      <c r="P74" s="40">
        <f t="shared" si="245"/>
        <v>0.25</v>
      </c>
      <c r="Q74" s="29">
        <f>+P74*I74</f>
        <v>19.5825</v>
      </c>
      <c r="S74" s="29">
        <f t="shared" ref="S74:S76" si="273">+Q74*40*52</f>
        <v>40731.599999999999</v>
      </c>
      <c r="T74" s="29">
        <f t="shared" ref="T74:T76" si="274">+S74*0.0833</f>
        <v>3392.9422799999998</v>
      </c>
      <c r="U74" s="29">
        <f t="shared" ref="U74:U76" si="275">+T74</f>
        <v>3392.9422799999998</v>
      </c>
      <c r="V74" s="29">
        <f t="shared" ref="V74:V76" si="276">+S74*0.01</f>
        <v>407.31599999999997</v>
      </c>
      <c r="W74" s="29">
        <f t="shared" ref="W74:W76" si="277">+S74*0.083</f>
        <v>3380.7228</v>
      </c>
      <c r="X74" s="29">
        <f t="shared" ref="X74:X76" si="278">+S74*0.0018</f>
        <v>73.316879999999998</v>
      </c>
      <c r="Y74" s="29">
        <f t="shared" ref="Y74:Y76" si="279">0.71*52*P74</f>
        <v>9.23</v>
      </c>
      <c r="Z74" s="29">
        <f t="shared" ref="Z74:Z76" si="280">172*12*P74</f>
        <v>516</v>
      </c>
      <c r="AA74" s="29">
        <f t="shared" ref="AA74:AA76" si="281">+(S74+T74+U74)*0.01</f>
        <v>475.17484560000003</v>
      </c>
      <c r="AB74" s="29">
        <f t="shared" ref="AB74:AB76" si="282">SUM(S74:AA74)</f>
        <v>52379.245085600007</v>
      </c>
      <c r="AC74" s="3">
        <f t="shared" ref="AC74:AC76" si="283">IF(+J74&gt;0,J74,AC73)</f>
        <v>0.5</v>
      </c>
      <c r="AD74" s="29">
        <f t="shared" ref="AD74:AD76" si="284">+AB74/AC74</f>
        <v>104758.49017120001</v>
      </c>
    </row>
    <row r="75" spans="1:30" ht="15" customHeight="1" x14ac:dyDescent="0.25">
      <c r="H75" s="6"/>
      <c r="L75" s="2" t="s">
        <v>382</v>
      </c>
      <c r="M75" s="3">
        <v>0</v>
      </c>
      <c r="O75" t="s">
        <v>428</v>
      </c>
      <c r="P75" s="40">
        <f t="shared" si="245"/>
        <v>0</v>
      </c>
      <c r="Q75" s="29">
        <f>+I74*P75</f>
        <v>0</v>
      </c>
      <c r="S75" s="29">
        <f t="shared" si="273"/>
        <v>0</v>
      </c>
      <c r="T75" s="29">
        <f t="shared" si="274"/>
        <v>0</v>
      </c>
      <c r="U75" s="29">
        <f t="shared" si="275"/>
        <v>0</v>
      </c>
      <c r="V75" s="29">
        <f t="shared" si="276"/>
        <v>0</v>
      </c>
      <c r="W75" s="29">
        <f t="shared" si="277"/>
        <v>0</v>
      </c>
      <c r="X75" s="29">
        <f t="shared" si="278"/>
        <v>0</v>
      </c>
      <c r="Y75" s="29">
        <f t="shared" si="279"/>
        <v>0</v>
      </c>
      <c r="Z75" s="29">
        <f t="shared" si="280"/>
        <v>0</v>
      </c>
      <c r="AA75" s="29">
        <f t="shared" si="281"/>
        <v>0</v>
      </c>
      <c r="AB75" s="29">
        <f t="shared" si="282"/>
        <v>0</v>
      </c>
      <c r="AC75" s="3">
        <f t="shared" si="283"/>
        <v>0.5</v>
      </c>
      <c r="AD75" s="29">
        <f t="shared" si="284"/>
        <v>0</v>
      </c>
    </row>
    <row r="76" spans="1:30" ht="15" customHeight="1" x14ac:dyDescent="0.25">
      <c r="H76" s="6"/>
      <c r="L76" s="1" t="s">
        <v>374</v>
      </c>
      <c r="M76" s="3">
        <v>0.8</v>
      </c>
      <c r="O76" t="s">
        <v>429</v>
      </c>
      <c r="P76" s="40">
        <f t="shared" si="245"/>
        <v>0.8</v>
      </c>
      <c r="Q76" s="29">
        <f>+I74*P76</f>
        <v>62.664000000000001</v>
      </c>
      <c r="S76" s="29">
        <f t="shared" si="273"/>
        <v>130341.12</v>
      </c>
      <c r="T76" s="29">
        <f t="shared" si="274"/>
        <v>10857.415295999999</v>
      </c>
      <c r="U76" s="29">
        <f t="shared" si="275"/>
        <v>10857.415295999999</v>
      </c>
      <c r="V76" s="29">
        <f t="shared" si="276"/>
        <v>1303.4112</v>
      </c>
      <c r="W76" s="29">
        <f t="shared" si="277"/>
        <v>10818.312959999999</v>
      </c>
      <c r="X76" s="29">
        <f t="shared" si="278"/>
        <v>234.61401599999999</v>
      </c>
      <c r="Y76" s="29">
        <f t="shared" si="279"/>
        <v>29.536000000000001</v>
      </c>
      <c r="Z76" s="29">
        <f t="shared" si="280"/>
        <v>1651.2</v>
      </c>
      <c r="AA76" s="29">
        <f t="shared" si="281"/>
        <v>1520.5595059199998</v>
      </c>
      <c r="AB76" s="29">
        <f t="shared" si="282"/>
        <v>167613.58427392002</v>
      </c>
      <c r="AC76" s="3">
        <f t="shared" si="283"/>
        <v>0.5</v>
      </c>
      <c r="AD76" s="29">
        <f t="shared" si="284"/>
        <v>335227.16854784003</v>
      </c>
    </row>
    <row r="77" spans="1:30" ht="15" customHeight="1" x14ac:dyDescent="0.25">
      <c r="H77" s="6"/>
      <c r="L77" s="2"/>
    </row>
    <row r="78" spans="1:30" ht="15" customHeight="1" x14ac:dyDescent="0.25">
      <c r="H78" s="6"/>
      <c r="L78" s="2"/>
    </row>
    <row r="79" spans="1:30" ht="15" customHeight="1" x14ac:dyDescent="0.25">
      <c r="A79" s="205" t="s">
        <v>278</v>
      </c>
      <c r="B79" t="s">
        <v>279</v>
      </c>
      <c r="C79" t="s">
        <v>280</v>
      </c>
      <c r="E79" t="s">
        <v>3</v>
      </c>
      <c r="F79" t="s">
        <v>4</v>
      </c>
      <c r="G79" t="s">
        <v>1077</v>
      </c>
      <c r="H79" s="6" t="s">
        <v>6</v>
      </c>
      <c r="I79">
        <v>78.33</v>
      </c>
      <c r="J79" s="3">
        <v>0.5</v>
      </c>
      <c r="K79" t="s">
        <v>447</v>
      </c>
      <c r="L79" s="1" t="s">
        <v>381</v>
      </c>
      <c r="M79" s="3">
        <v>1</v>
      </c>
      <c r="O79" t="s">
        <v>427</v>
      </c>
      <c r="P79" s="40">
        <f t="shared" si="245"/>
        <v>1</v>
      </c>
      <c r="Q79" s="29">
        <f>+P79*I79</f>
        <v>78.33</v>
      </c>
      <c r="S79" s="29">
        <f t="shared" ref="S79" si="285">+Q79*40*52</f>
        <v>162926.39999999999</v>
      </c>
      <c r="T79" s="29">
        <f t="shared" ref="T79" si="286">+S79*0.0833</f>
        <v>13571.769119999999</v>
      </c>
      <c r="U79" s="29">
        <f t="shared" ref="U79" si="287">+T79</f>
        <v>13571.769119999999</v>
      </c>
      <c r="V79" s="29">
        <f t="shared" ref="V79" si="288">+S79*0.01</f>
        <v>1629.2639999999999</v>
      </c>
      <c r="W79" s="29">
        <f t="shared" ref="W79" si="289">+S79*0.083</f>
        <v>13522.8912</v>
      </c>
      <c r="X79" s="29">
        <f t="shared" ref="X79" si="290">+S79*0.0018</f>
        <v>293.26751999999999</v>
      </c>
      <c r="Y79" s="29">
        <f t="shared" ref="Y79" si="291">0.71*52*P79</f>
        <v>36.92</v>
      </c>
      <c r="Z79" s="29">
        <f t="shared" ref="Z79" si="292">172*12*P79</f>
        <v>2064</v>
      </c>
      <c r="AA79" s="29">
        <f t="shared" ref="AA79" si="293">+(S79+T79+U79)*0.01</f>
        <v>1900.6993824000001</v>
      </c>
      <c r="AB79" s="29">
        <f t="shared" ref="AB79" si="294">SUM(S79:AA79)</f>
        <v>209516.98034240003</v>
      </c>
      <c r="AC79" s="3">
        <f t="shared" ref="AC79" si="295">IF(+J79&gt;0,J79,AC78)</f>
        <v>0.5</v>
      </c>
      <c r="AD79" s="29">
        <f t="shared" ref="AD79" si="296">+AB79/AC79</f>
        <v>419033.96068480005</v>
      </c>
    </row>
    <row r="80" spans="1:30" ht="15" customHeight="1" x14ac:dyDescent="0.25">
      <c r="H80" s="6"/>
      <c r="L80" s="2"/>
    </row>
    <row r="81" spans="1:30" ht="15" customHeight="1" x14ac:dyDescent="0.25">
      <c r="H81" s="6"/>
      <c r="L81" s="1"/>
    </row>
    <row r="82" spans="1:30" ht="15" customHeight="1" x14ac:dyDescent="0.25">
      <c r="A82" s="205" t="s">
        <v>113</v>
      </c>
      <c r="B82" t="s">
        <v>114</v>
      </c>
      <c r="C82" t="s">
        <v>115</v>
      </c>
      <c r="E82" t="s">
        <v>3</v>
      </c>
      <c r="F82" t="s">
        <v>4</v>
      </c>
      <c r="G82" t="s">
        <v>1078</v>
      </c>
      <c r="H82" s="6" t="s">
        <v>6</v>
      </c>
      <c r="I82">
        <v>92.77</v>
      </c>
      <c r="J82" s="3">
        <v>0.75</v>
      </c>
      <c r="K82" t="s">
        <v>447</v>
      </c>
      <c r="L82" s="7" t="s">
        <v>381</v>
      </c>
      <c r="M82" s="3">
        <v>0.35</v>
      </c>
      <c r="O82" t="s">
        <v>427</v>
      </c>
      <c r="P82" s="40">
        <f t="shared" si="245"/>
        <v>0.35</v>
      </c>
      <c r="Q82" s="29">
        <f>+P82*I82</f>
        <v>32.469499999999996</v>
      </c>
      <c r="S82" s="29">
        <f t="shared" ref="S82:S84" si="297">+Q82*40*52</f>
        <v>67536.559999999983</v>
      </c>
      <c r="T82" s="29">
        <f t="shared" ref="T82:T84" si="298">+S82*0.0833</f>
        <v>5625.7954479999989</v>
      </c>
      <c r="U82" s="29">
        <f t="shared" ref="U82:U84" si="299">+T82</f>
        <v>5625.7954479999989</v>
      </c>
      <c r="V82" s="29">
        <f t="shared" ref="V82:V84" si="300">+S82*0.01</f>
        <v>675.36559999999986</v>
      </c>
      <c r="W82" s="29">
        <f t="shared" ref="W82:W84" si="301">+S82*0.083</f>
        <v>5605.5344799999984</v>
      </c>
      <c r="X82" s="29">
        <f t="shared" ref="X82:X84" si="302">+S82*0.0018</f>
        <v>121.56580799999996</v>
      </c>
      <c r="Y82" s="29">
        <f t="shared" ref="Y82:Y84" si="303">0.71*52*P82</f>
        <v>12.922000000000001</v>
      </c>
      <c r="Z82" s="29">
        <f t="shared" ref="Z82:Z84" si="304">172*12*P82</f>
        <v>722.4</v>
      </c>
      <c r="AA82" s="29">
        <f t="shared" ref="AA82:AA84" si="305">+(S82+T82+U82)*0.01</f>
        <v>787.88150895999991</v>
      </c>
      <c r="AB82" s="29">
        <f t="shared" ref="AB82:AB84" si="306">SUM(S82:AA82)</f>
        <v>86713.820292959994</v>
      </c>
      <c r="AC82" s="3">
        <f t="shared" ref="AC82:AC84" si="307">IF(+J82&gt;0,J82,AC81)</f>
        <v>0.75</v>
      </c>
      <c r="AD82" s="29">
        <f t="shared" ref="AD82:AD84" si="308">+AB82/AC82</f>
        <v>115618.42705727999</v>
      </c>
    </row>
    <row r="83" spans="1:30" ht="15" customHeight="1" x14ac:dyDescent="0.25">
      <c r="H83" s="6"/>
      <c r="L83" s="1" t="s">
        <v>382</v>
      </c>
      <c r="M83" s="3">
        <v>0.3</v>
      </c>
      <c r="O83" s="207" t="s">
        <v>414</v>
      </c>
      <c r="P83" s="40">
        <f t="shared" si="245"/>
        <v>0.3</v>
      </c>
      <c r="Q83" s="29">
        <f>+I82*P83</f>
        <v>27.831</v>
      </c>
      <c r="S83" s="29">
        <f t="shared" si="297"/>
        <v>57888.480000000003</v>
      </c>
      <c r="T83" s="29">
        <f t="shared" si="298"/>
        <v>4822.1103840000005</v>
      </c>
      <c r="U83" s="29">
        <f t="shared" si="299"/>
        <v>4822.1103840000005</v>
      </c>
      <c r="V83" s="29">
        <f t="shared" si="300"/>
        <v>578.88480000000004</v>
      </c>
      <c r="W83" s="29">
        <f t="shared" si="301"/>
        <v>4804.7438400000001</v>
      </c>
      <c r="X83" s="29">
        <f t="shared" si="302"/>
        <v>104.199264</v>
      </c>
      <c r="Y83" s="29">
        <f t="shared" si="303"/>
        <v>11.076000000000001</v>
      </c>
      <c r="Z83" s="29">
        <f t="shared" si="304"/>
        <v>619.19999999999993</v>
      </c>
      <c r="AA83" s="29">
        <f t="shared" si="305"/>
        <v>675.32700768000007</v>
      </c>
      <c r="AB83" s="29">
        <f t="shared" si="306"/>
        <v>74326.131679679995</v>
      </c>
      <c r="AC83" s="3">
        <f t="shared" si="307"/>
        <v>0.75</v>
      </c>
      <c r="AD83" s="29">
        <f t="shared" si="308"/>
        <v>99101.508906239993</v>
      </c>
    </row>
    <row r="84" spans="1:30" ht="15" customHeight="1" x14ac:dyDescent="0.25">
      <c r="H84" s="6"/>
      <c r="L84" s="1" t="s">
        <v>382</v>
      </c>
      <c r="M84" s="3">
        <v>0.35</v>
      </c>
      <c r="O84" t="s">
        <v>428</v>
      </c>
      <c r="P84" s="40">
        <f t="shared" si="245"/>
        <v>0.35</v>
      </c>
      <c r="Q84" s="29">
        <f>+I82*P84</f>
        <v>32.469499999999996</v>
      </c>
      <c r="S84" s="29">
        <f t="shared" si="297"/>
        <v>67536.559999999983</v>
      </c>
      <c r="T84" s="29">
        <f t="shared" si="298"/>
        <v>5625.7954479999989</v>
      </c>
      <c r="U84" s="29">
        <f t="shared" si="299"/>
        <v>5625.7954479999989</v>
      </c>
      <c r="V84" s="29">
        <f t="shared" si="300"/>
        <v>675.36559999999986</v>
      </c>
      <c r="W84" s="29">
        <f t="shared" si="301"/>
        <v>5605.5344799999984</v>
      </c>
      <c r="X84" s="29">
        <f t="shared" si="302"/>
        <v>121.56580799999996</v>
      </c>
      <c r="Y84" s="29">
        <f t="shared" si="303"/>
        <v>12.922000000000001</v>
      </c>
      <c r="Z84" s="29">
        <f t="shared" si="304"/>
        <v>722.4</v>
      </c>
      <c r="AA84" s="29">
        <f t="shared" si="305"/>
        <v>787.88150895999991</v>
      </c>
      <c r="AB84" s="29">
        <f t="shared" si="306"/>
        <v>86713.820292959994</v>
      </c>
      <c r="AC84" s="3">
        <f t="shared" si="307"/>
        <v>0.75</v>
      </c>
      <c r="AD84" s="29">
        <f t="shared" si="308"/>
        <v>115618.42705727999</v>
      </c>
    </row>
    <row r="85" spans="1:30" ht="15" customHeight="1" x14ac:dyDescent="0.25">
      <c r="H85" s="6"/>
      <c r="L85" s="2"/>
    </row>
    <row r="86" spans="1:30" ht="15" customHeight="1" thickBot="1" x14ac:dyDescent="0.3">
      <c r="A86" s="205" t="s">
        <v>192</v>
      </c>
      <c r="B86" t="s">
        <v>193</v>
      </c>
      <c r="C86" t="s">
        <v>2</v>
      </c>
      <c r="E86" t="s">
        <v>3</v>
      </c>
      <c r="F86" t="s">
        <v>4</v>
      </c>
      <c r="G86" t="s">
        <v>10</v>
      </c>
      <c r="H86" s="6" t="s">
        <v>6</v>
      </c>
      <c r="I86">
        <v>111.14</v>
      </c>
      <c r="J86" s="3">
        <v>0.75</v>
      </c>
      <c r="K86" t="s">
        <v>447</v>
      </c>
      <c r="L86" s="7" t="s">
        <v>382</v>
      </c>
      <c r="M86" s="3">
        <v>0.35</v>
      </c>
      <c r="O86" t="s">
        <v>428</v>
      </c>
      <c r="P86" s="40">
        <f t="shared" si="245"/>
        <v>0.35</v>
      </c>
      <c r="Q86" s="29">
        <f>+I86*P86</f>
        <v>38.899000000000001</v>
      </c>
      <c r="S86" s="29">
        <f t="shared" ref="S86:S88" si="309">+Q86*40*52</f>
        <v>80909.919999999998</v>
      </c>
      <c r="T86" s="29">
        <f t="shared" ref="T86:T88" si="310">+S86*0.0833</f>
        <v>6739.7963359999994</v>
      </c>
      <c r="U86" s="29">
        <f t="shared" ref="U86:U88" si="311">+T86</f>
        <v>6739.7963359999994</v>
      </c>
      <c r="V86" s="29">
        <f t="shared" ref="V86:V88" si="312">+S86*0.01</f>
        <v>809.0992</v>
      </c>
      <c r="W86" s="29">
        <f t="shared" ref="W86:W88" si="313">+S86*0.083</f>
        <v>6715.5233600000001</v>
      </c>
      <c r="X86" s="29">
        <f t="shared" ref="X86:X88" si="314">+S86*0.0018</f>
        <v>145.637856</v>
      </c>
      <c r="Y86" s="29">
        <f t="shared" ref="Y86:Y88" si="315">0.71*52*P86</f>
        <v>12.922000000000001</v>
      </c>
      <c r="Z86" s="29">
        <f t="shared" ref="Z86:Z88" si="316">172*12*P86</f>
        <v>722.4</v>
      </c>
      <c r="AA86" s="29">
        <f t="shared" ref="AA86:AA88" si="317">+(S86+T86+U86)*0.01</f>
        <v>943.89512672000001</v>
      </c>
      <c r="AB86" s="29">
        <f t="shared" ref="AB86:AB88" si="318">SUM(S86:AA86)</f>
        <v>103738.99021472</v>
      </c>
      <c r="AC86" s="3">
        <f t="shared" ref="AC86" si="319">IF(+J86&gt;0,J86,AC85)</f>
        <v>0.75</v>
      </c>
      <c r="AD86" s="29">
        <f t="shared" ref="AD86:AD88" si="320">+AB86/AC86</f>
        <v>138318.65361962668</v>
      </c>
    </row>
    <row r="87" spans="1:30" ht="15" customHeight="1" thickBot="1" x14ac:dyDescent="0.3">
      <c r="H87" s="6"/>
      <c r="L87" s="7" t="s">
        <v>397</v>
      </c>
      <c r="M87" s="3">
        <v>0.3</v>
      </c>
      <c r="O87" s="209" t="s">
        <v>414</v>
      </c>
      <c r="P87" s="40">
        <f t="shared" ref="P87" si="321">+M87</f>
        <v>0.3</v>
      </c>
      <c r="Q87" s="29">
        <f>+I86*P87</f>
        <v>33.341999999999999</v>
      </c>
      <c r="S87" s="29">
        <f t="shared" ref="S87" si="322">+Q87*40*52</f>
        <v>69351.359999999986</v>
      </c>
      <c r="T87" s="29">
        <f t="shared" ref="T87" si="323">+S87*0.0833</f>
        <v>5776.9682879999991</v>
      </c>
      <c r="U87" s="29">
        <f t="shared" ref="U87" si="324">+T87</f>
        <v>5776.9682879999991</v>
      </c>
      <c r="V87" s="29">
        <f t="shared" ref="V87" si="325">+S87*0.01</f>
        <v>693.51359999999988</v>
      </c>
      <c r="W87" s="29">
        <f t="shared" si="313"/>
        <v>5756.1628799999989</v>
      </c>
      <c r="X87" s="29">
        <f t="shared" ref="X87" si="326">+S87*0.0018</f>
        <v>124.83244799999997</v>
      </c>
      <c r="Y87" s="29">
        <f t="shared" ref="Y87" si="327">0.71*52*P87</f>
        <v>11.076000000000001</v>
      </c>
      <c r="Z87" s="29">
        <f t="shared" ref="Z87" si="328">172*12*P87</f>
        <v>619.19999999999993</v>
      </c>
      <c r="AA87" s="29">
        <f t="shared" ref="AA87" si="329">+(S87+T87+U87)*0.01</f>
        <v>809.05296576000001</v>
      </c>
      <c r="AB87" s="29">
        <f t="shared" ref="AB87" si="330">SUM(S87:AA87)</f>
        <v>88919.13446976</v>
      </c>
      <c r="AC87" s="3">
        <f>+AC86</f>
        <v>0.75</v>
      </c>
      <c r="AD87" s="29">
        <f t="shared" ref="AD87" si="331">+AB87/AC87</f>
        <v>118558.84595967999</v>
      </c>
    </row>
    <row r="88" spans="1:30" ht="15" customHeight="1" x14ac:dyDescent="0.25">
      <c r="H88" s="6"/>
      <c r="L88" s="1" t="s">
        <v>381</v>
      </c>
      <c r="M88" s="3">
        <v>0.35</v>
      </c>
      <c r="O88" t="s">
        <v>427</v>
      </c>
      <c r="P88" s="40">
        <f t="shared" si="245"/>
        <v>0.35</v>
      </c>
      <c r="Q88" s="29">
        <f>+I86*P88</f>
        <v>38.899000000000001</v>
      </c>
      <c r="S88" s="29">
        <f t="shared" si="309"/>
        <v>80909.919999999998</v>
      </c>
      <c r="T88" s="29">
        <f t="shared" si="310"/>
        <v>6739.7963359999994</v>
      </c>
      <c r="U88" s="29">
        <f t="shared" si="311"/>
        <v>6739.7963359999994</v>
      </c>
      <c r="V88" s="29">
        <f t="shared" si="312"/>
        <v>809.0992</v>
      </c>
      <c r="W88" s="29">
        <f t="shared" si="313"/>
        <v>6715.5233600000001</v>
      </c>
      <c r="X88" s="29">
        <f t="shared" si="314"/>
        <v>145.637856</v>
      </c>
      <c r="Y88" s="29">
        <f t="shared" si="315"/>
        <v>12.922000000000001</v>
      </c>
      <c r="Z88" s="29">
        <f t="shared" si="316"/>
        <v>722.4</v>
      </c>
      <c r="AA88" s="29">
        <f t="shared" si="317"/>
        <v>943.89512672000001</v>
      </c>
      <c r="AB88" s="29">
        <f t="shared" si="318"/>
        <v>103738.99021472</v>
      </c>
      <c r="AC88" s="3">
        <f>IF(+J88&gt;0,J88,AC86)</f>
        <v>0.75</v>
      </c>
      <c r="AD88" s="29">
        <f t="shared" si="320"/>
        <v>138318.65361962668</v>
      </c>
    </row>
    <row r="89" spans="1:30" ht="15" customHeight="1" x14ac:dyDescent="0.25">
      <c r="H89" s="6"/>
      <c r="L89" s="7"/>
    </row>
    <row r="90" spans="1:30" ht="15" customHeight="1" x14ac:dyDescent="0.25">
      <c r="A90" s="127" t="s">
        <v>1396</v>
      </c>
      <c r="H90" s="6"/>
      <c r="L90" s="7"/>
      <c r="O90" s="6"/>
    </row>
    <row r="91" spans="1:30" ht="15" customHeight="1" x14ac:dyDescent="0.25">
      <c r="A91" s="205" t="s">
        <v>350</v>
      </c>
      <c r="B91" t="s">
        <v>351</v>
      </c>
      <c r="C91" t="s">
        <v>352</v>
      </c>
      <c r="E91" t="s">
        <v>3</v>
      </c>
      <c r="F91" t="s">
        <v>4</v>
      </c>
      <c r="G91" t="s">
        <v>1079</v>
      </c>
      <c r="H91" s="6" t="s">
        <v>304</v>
      </c>
      <c r="I91">
        <v>78.33</v>
      </c>
      <c r="J91" s="3">
        <v>0.75</v>
      </c>
      <c r="K91" t="s">
        <v>447</v>
      </c>
      <c r="L91" s="7" t="s">
        <v>387</v>
      </c>
      <c r="M91" s="3">
        <v>1</v>
      </c>
      <c r="O91" s="6" t="s">
        <v>411</v>
      </c>
      <c r="P91" s="40">
        <f t="shared" ref="P91:P92" si="332">+M91</f>
        <v>1</v>
      </c>
      <c r="Q91" s="29">
        <f t="shared" ref="Q91:Q92" si="333">+P91*I91</f>
        <v>78.33</v>
      </c>
      <c r="S91" s="29">
        <f t="shared" ref="S91:S92" si="334">+Q91*40*52</f>
        <v>162926.39999999999</v>
      </c>
      <c r="T91" s="29">
        <f t="shared" ref="T91:T92" si="335">+S91*0.0833</f>
        <v>13571.769119999999</v>
      </c>
      <c r="U91" s="29">
        <f t="shared" ref="U91:U92" si="336">+T91</f>
        <v>13571.769119999999</v>
      </c>
      <c r="V91" s="29">
        <f t="shared" ref="V91:V92" si="337">+S91*0.01</f>
        <v>1629.2639999999999</v>
      </c>
      <c r="W91" s="29">
        <f t="shared" ref="W91:W92" si="338">+S91*0.083</f>
        <v>13522.8912</v>
      </c>
      <c r="X91" s="29">
        <f t="shared" ref="X91:X92" si="339">+S91*0.0018</f>
        <v>293.26751999999999</v>
      </c>
      <c r="Y91" s="29">
        <f t="shared" ref="Y91:Y92" si="340">0.71*52*P91</f>
        <v>36.92</v>
      </c>
      <c r="Z91" s="29">
        <f t="shared" ref="Z91:Z92" si="341">172*12*P91</f>
        <v>2064</v>
      </c>
      <c r="AA91" s="29">
        <f t="shared" ref="AA91:AA92" si="342">+(S91+T91+U91)*0.01</f>
        <v>1900.6993824000001</v>
      </c>
      <c r="AB91" s="29">
        <f t="shared" ref="AB91:AB92" si="343">SUM(S91:AA91)</f>
        <v>209516.98034240003</v>
      </c>
      <c r="AC91" s="3">
        <f t="shared" ref="AC91" si="344">IF(+J91&gt;0,J91,AC90)</f>
        <v>0.75</v>
      </c>
      <c r="AD91" s="29">
        <f t="shared" ref="AD91:AD92" si="345">+AB91/AC91</f>
        <v>279355.97378986672</v>
      </c>
    </row>
    <row r="92" spans="1:30" ht="15" customHeight="1" x14ac:dyDescent="0.25">
      <c r="A92" s="205" t="s">
        <v>939</v>
      </c>
      <c r="B92" t="s">
        <v>940</v>
      </c>
      <c r="C92" t="s">
        <v>353</v>
      </c>
      <c r="G92" t="s">
        <v>1079</v>
      </c>
      <c r="H92" s="6" t="s">
        <v>304</v>
      </c>
      <c r="I92">
        <v>75.430000000000007</v>
      </c>
      <c r="J92" s="3">
        <v>0.75</v>
      </c>
      <c r="K92" t="s">
        <v>447</v>
      </c>
      <c r="L92" s="7" t="s">
        <v>387</v>
      </c>
      <c r="M92" s="3">
        <v>1</v>
      </c>
      <c r="O92" s="6" t="s">
        <v>411</v>
      </c>
      <c r="P92" s="40">
        <f t="shared" si="332"/>
        <v>1</v>
      </c>
      <c r="Q92" s="29">
        <f t="shared" si="333"/>
        <v>75.430000000000007</v>
      </c>
      <c r="S92" s="29">
        <f t="shared" si="334"/>
        <v>156894.40000000002</v>
      </c>
      <c r="T92" s="29">
        <f t="shared" si="335"/>
        <v>13069.303520000001</v>
      </c>
      <c r="U92" s="29">
        <f t="shared" si="336"/>
        <v>13069.303520000001</v>
      </c>
      <c r="V92" s="29">
        <f t="shared" si="337"/>
        <v>1568.9440000000002</v>
      </c>
      <c r="W92" s="29">
        <f t="shared" si="338"/>
        <v>13022.235200000003</v>
      </c>
      <c r="X92" s="29">
        <f t="shared" si="339"/>
        <v>282.40992000000006</v>
      </c>
      <c r="Y92" s="29">
        <f t="shared" si="340"/>
        <v>36.92</v>
      </c>
      <c r="Z92" s="29">
        <f t="shared" si="341"/>
        <v>2064</v>
      </c>
      <c r="AA92" s="29">
        <f t="shared" si="342"/>
        <v>1830.3300704000005</v>
      </c>
      <c r="AB92" s="29">
        <f t="shared" si="343"/>
        <v>201837.84623040006</v>
      </c>
      <c r="AC92" s="3">
        <f>IF(+J92&gt;0,J92,#REF!)</f>
        <v>0.75</v>
      </c>
      <c r="AD92" s="29">
        <f t="shared" si="345"/>
        <v>269117.1283072001</v>
      </c>
    </row>
    <row r="93" spans="1:30" ht="15" customHeight="1" x14ac:dyDescent="0.25">
      <c r="L93" s="7"/>
    </row>
    <row r="94" spans="1:30" ht="15" customHeight="1" x14ac:dyDescent="0.25">
      <c r="L94" s="7"/>
    </row>
    <row r="95" spans="1:30" ht="15" customHeight="1" x14ac:dyDescent="0.25">
      <c r="L95" s="7"/>
    </row>
    <row r="96" spans="1:30" ht="15" customHeight="1" x14ac:dyDescent="0.25">
      <c r="A96" s="127" t="s">
        <v>455</v>
      </c>
      <c r="L96" s="7"/>
    </row>
    <row r="97" spans="1:30" ht="15" customHeight="1" x14ac:dyDescent="0.25">
      <c r="A97" s="8"/>
      <c r="B97" s="9"/>
      <c r="C97" s="9"/>
      <c r="D97" s="41"/>
      <c r="E97" s="9"/>
      <c r="F97" s="9"/>
      <c r="G97" s="9"/>
      <c r="H97" s="9"/>
      <c r="I97" s="9"/>
      <c r="J97" s="19"/>
      <c r="K97" s="9"/>
      <c r="L97" s="7"/>
      <c r="M97" s="19"/>
      <c r="N97" s="9"/>
      <c r="O97" s="9"/>
      <c r="P97" s="41"/>
      <c r="Q97" s="32"/>
      <c r="R97" s="33"/>
    </row>
    <row r="98" spans="1:30" ht="15" customHeight="1" x14ac:dyDescent="0.25">
      <c r="A98" s="205" t="s">
        <v>337</v>
      </c>
      <c r="B98" t="s">
        <v>338</v>
      </c>
      <c r="C98" t="s">
        <v>339</v>
      </c>
      <c r="E98" t="s">
        <v>3</v>
      </c>
      <c r="F98" t="s">
        <v>4</v>
      </c>
      <c r="G98" t="s">
        <v>1080</v>
      </c>
      <c r="H98" s="6" t="s">
        <v>16</v>
      </c>
      <c r="I98">
        <v>87.84</v>
      </c>
      <c r="J98" s="3">
        <v>0.5</v>
      </c>
      <c r="K98" t="s">
        <v>447</v>
      </c>
      <c r="L98" s="2" t="s">
        <v>392</v>
      </c>
      <c r="M98" s="3">
        <v>0.7</v>
      </c>
      <c r="O98" t="s">
        <v>609</v>
      </c>
      <c r="P98" s="40">
        <f t="shared" ref="P98:P103" si="346">+M98</f>
        <v>0.7</v>
      </c>
      <c r="Q98" s="29">
        <f>+$I$98*P98</f>
        <v>61.488</v>
      </c>
      <c r="R98" s="34"/>
      <c r="S98" s="29">
        <f t="shared" ref="S98:S99" si="347">+Q98*40*52</f>
        <v>127895.03999999999</v>
      </c>
      <c r="T98" s="29">
        <f t="shared" ref="T98:T129" si="348">+S98*0.0833</f>
        <v>10653.656831999999</v>
      </c>
      <c r="U98" s="29">
        <f t="shared" ref="U98:U129" si="349">+T98</f>
        <v>10653.656831999999</v>
      </c>
      <c r="V98" s="29">
        <f t="shared" ref="V98:V99" si="350">+S98*0.01</f>
        <v>1278.9503999999999</v>
      </c>
      <c r="W98" s="29">
        <f t="shared" ref="W98:W101" si="351">+S98*0.083</f>
        <v>10615.28832</v>
      </c>
      <c r="X98" s="29">
        <f t="shared" ref="X98:X99" si="352">+S98*0.0018</f>
        <v>230.21107199999997</v>
      </c>
      <c r="Y98" s="29">
        <f t="shared" ref="Y98:Y99" si="353">0.71*52*P98</f>
        <v>25.844000000000001</v>
      </c>
      <c r="Z98" s="29">
        <f t="shared" ref="Z98:Z99" si="354">172*12*P98</f>
        <v>1444.8</v>
      </c>
      <c r="AA98" s="29">
        <f t="shared" ref="AA98:AA99" si="355">+(S98+T98+U98)*0.01</f>
        <v>1492.02353664</v>
      </c>
      <c r="AB98" s="29">
        <f t="shared" ref="AB98:AB99" si="356">SUM(S98:AA98)</f>
        <v>164289.47099263998</v>
      </c>
      <c r="AC98" s="3">
        <f t="shared" ref="AC98:AC99" si="357">IF(+J98&gt;0,J98,AC97)</f>
        <v>0.5</v>
      </c>
      <c r="AD98" s="29">
        <f t="shared" ref="AD98:AD99" si="358">+AB98/AC98</f>
        <v>328578.94198527996</v>
      </c>
    </row>
    <row r="99" spans="1:30" ht="15" customHeight="1" x14ac:dyDescent="0.25">
      <c r="A99" s="11"/>
      <c r="H99" s="6"/>
      <c r="K99" t="s">
        <v>447</v>
      </c>
      <c r="L99" s="1" t="s">
        <v>390</v>
      </c>
      <c r="M99" s="3">
        <v>0.1</v>
      </c>
      <c r="O99" t="s">
        <v>432</v>
      </c>
      <c r="P99" s="40">
        <f t="shared" si="346"/>
        <v>0.1</v>
      </c>
      <c r="Q99" s="29">
        <f t="shared" ref="Q99:Q101" si="359">+$I$98*P99</f>
        <v>8.7840000000000007</v>
      </c>
      <c r="R99" s="34"/>
      <c r="S99" s="29">
        <f t="shared" si="347"/>
        <v>18270.72</v>
      </c>
      <c r="T99" s="29">
        <f t="shared" si="348"/>
        <v>1521.9509760000001</v>
      </c>
      <c r="U99" s="29">
        <f t="shared" si="349"/>
        <v>1521.9509760000001</v>
      </c>
      <c r="V99" s="29">
        <f t="shared" si="350"/>
        <v>182.70720000000003</v>
      </c>
      <c r="W99" s="29">
        <f t="shared" si="351"/>
        <v>1516.4697600000002</v>
      </c>
      <c r="X99" s="29">
        <f t="shared" si="352"/>
        <v>32.887295999999999</v>
      </c>
      <c r="Y99" s="29">
        <f t="shared" si="353"/>
        <v>3.6920000000000002</v>
      </c>
      <c r="Z99" s="29">
        <f t="shared" si="354"/>
        <v>206.4</v>
      </c>
      <c r="AA99" s="29">
        <f t="shared" si="355"/>
        <v>213.14621952000002</v>
      </c>
      <c r="AB99" s="29">
        <f t="shared" si="356"/>
        <v>23469.924427520004</v>
      </c>
      <c r="AC99" s="3">
        <f t="shared" si="357"/>
        <v>0.5</v>
      </c>
      <c r="AD99" s="29">
        <f t="shared" si="358"/>
        <v>46939.848855040007</v>
      </c>
    </row>
    <row r="100" spans="1:30" ht="15" customHeight="1" x14ac:dyDescent="0.25">
      <c r="A100" s="11"/>
      <c r="H100" s="6"/>
      <c r="K100" t="s">
        <v>447</v>
      </c>
      <c r="L100" s="7" t="s">
        <v>391</v>
      </c>
      <c r="M100" s="3">
        <v>0.1</v>
      </c>
      <c r="O100" t="s">
        <v>433</v>
      </c>
      <c r="P100" s="40">
        <f t="shared" ref="P100:P101" si="360">+M100</f>
        <v>0.1</v>
      </c>
      <c r="Q100" s="29">
        <f t="shared" si="359"/>
        <v>8.7840000000000007</v>
      </c>
      <c r="R100" s="34"/>
      <c r="S100" s="29">
        <f t="shared" ref="S100:S101" si="361">+Q100*40*52</f>
        <v>18270.72</v>
      </c>
      <c r="T100" s="29">
        <f t="shared" ref="T100:T101" si="362">+S100*0.0833</f>
        <v>1521.9509760000001</v>
      </c>
      <c r="U100" s="29">
        <f t="shared" ref="U100:U101" si="363">+T100</f>
        <v>1521.9509760000001</v>
      </c>
      <c r="V100" s="29">
        <f t="shared" ref="V100:V101" si="364">+S100*0.01</f>
        <v>182.70720000000003</v>
      </c>
      <c r="W100" s="29">
        <f t="shared" si="351"/>
        <v>1516.4697600000002</v>
      </c>
      <c r="X100" s="29">
        <f t="shared" ref="X100:X101" si="365">+S100*0.0018</f>
        <v>32.887295999999999</v>
      </c>
      <c r="Y100" s="29">
        <f t="shared" ref="Y100:Y101" si="366">0.71*52*P100</f>
        <v>3.6920000000000002</v>
      </c>
      <c r="Z100" s="29">
        <f t="shared" ref="Z100:Z101" si="367">172*12*P100</f>
        <v>206.4</v>
      </c>
      <c r="AA100" s="29">
        <f t="shared" ref="AA100:AA101" si="368">+(S100+T100+U100)*0.01</f>
        <v>213.14621952000002</v>
      </c>
      <c r="AB100" s="29">
        <f t="shared" ref="AB100:AB101" si="369">SUM(S100:AA100)</f>
        <v>23469.924427520004</v>
      </c>
      <c r="AC100" s="3">
        <f t="shared" ref="AC100:AC101" si="370">IF(+J100&gt;0,J100,AC99)</f>
        <v>0.5</v>
      </c>
      <c r="AD100" s="29">
        <f t="shared" ref="AD100:AD101" si="371">+AB100/AC100</f>
        <v>46939.848855040007</v>
      </c>
    </row>
    <row r="101" spans="1:30" ht="15" customHeight="1" x14ac:dyDescent="0.25">
      <c r="A101" s="11"/>
      <c r="H101" s="6"/>
      <c r="K101" t="s">
        <v>447</v>
      </c>
      <c r="L101" s="2" t="s">
        <v>388</v>
      </c>
      <c r="M101" s="3">
        <v>0.1</v>
      </c>
      <c r="O101" t="s">
        <v>430</v>
      </c>
      <c r="P101" s="40">
        <f t="shared" si="360"/>
        <v>0.1</v>
      </c>
      <c r="Q101" s="29">
        <f t="shared" si="359"/>
        <v>8.7840000000000007</v>
      </c>
      <c r="R101" s="34"/>
      <c r="S101" s="29">
        <f t="shared" si="361"/>
        <v>18270.72</v>
      </c>
      <c r="T101" s="29">
        <f t="shared" si="362"/>
        <v>1521.9509760000001</v>
      </c>
      <c r="U101" s="29">
        <f t="shared" si="363"/>
        <v>1521.9509760000001</v>
      </c>
      <c r="V101" s="29">
        <f t="shared" si="364"/>
        <v>182.70720000000003</v>
      </c>
      <c r="W101" s="29">
        <f t="shared" si="351"/>
        <v>1516.4697600000002</v>
      </c>
      <c r="X101" s="29">
        <f t="shared" si="365"/>
        <v>32.887295999999999</v>
      </c>
      <c r="Y101" s="29">
        <f t="shared" si="366"/>
        <v>3.6920000000000002</v>
      </c>
      <c r="Z101" s="29">
        <f t="shared" si="367"/>
        <v>206.4</v>
      </c>
      <c r="AA101" s="29">
        <f t="shared" si="368"/>
        <v>213.14621952000002</v>
      </c>
      <c r="AB101" s="29">
        <f t="shared" si="369"/>
        <v>23469.924427520004</v>
      </c>
      <c r="AC101" s="3">
        <f t="shared" si="370"/>
        <v>0.5</v>
      </c>
      <c r="AD101" s="29">
        <f t="shared" si="371"/>
        <v>46939.848855040007</v>
      </c>
    </row>
    <row r="102" spans="1:30" ht="15" customHeight="1" x14ac:dyDescent="0.25">
      <c r="A102" s="11"/>
      <c r="H102" s="6"/>
      <c r="L102" s="2"/>
      <c r="R102" s="34"/>
    </row>
    <row r="103" spans="1:30" ht="15" customHeight="1" x14ac:dyDescent="0.25">
      <c r="A103" s="206" t="s">
        <v>363</v>
      </c>
      <c r="B103" t="s">
        <v>364</v>
      </c>
      <c r="C103" t="s">
        <v>365</v>
      </c>
      <c r="E103" t="s">
        <v>3</v>
      </c>
      <c r="F103" t="s">
        <v>4</v>
      </c>
      <c r="G103" t="s">
        <v>1081</v>
      </c>
      <c r="H103" s="6" t="s">
        <v>16</v>
      </c>
      <c r="I103">
        <v>92.77</v>
      </c>
      <c r="J103" s="3">
        <v>0.5</v>
      </c>
      <c r="K103" t="s">
        <v>447</v>
      </c>
      <c r="L103" s="1" t="s">
        <v>389</v>
      </c>
      <c r="M103" s="3">
        <v>1</v>
      </c>
      <c r="O103" t="s">
        <v>431</v>
      </c>
      <c r="P103" s="40">
        <f t="shared" si="346"/>
        <v>1</v>
      </c>
      <c r="Q103" s="29">
        <f>+P103*I103</f>
        <v>92.77</v>
      </c>
      <c r="R103" s="34"/>
      <c r="S103" s="29">
        <f t="shared" ref="S103" si="372">+Q103*40*52</f>
        <v>192961.59999999998</v>
      </c>
      <c r="T103" s="29">
        <f t="shared" si="348"/>
        <v>16073.701279999997</v>
      </c>
      <c r="U103" s="29">
        <f t="shared" si="349"/>
        <v>16073.701279999997</v>
      </c>
      <c r="V103" s="29">
        <f t="shared" ref="V103" si="373">+S103*0.01</f>
        <v>1929.6159999999998</v>
      </c>
      <c r="W103" s="29">
        <f t="shared" ref="W103" si="374">+S103*0.083</f>
        <v>16015.8128</v>
      </c>
      <c r="X103" s="29">
        <f t="shared" ref="X103" si="375">+S103*0.0018</f>
        <v>347.33087999999992</v>
      </c>
      <c r="Y103" s="29">
        <f t="shared" ref="Y103" si="376">0.71*52*P103</f>
        <v>36.92</v>
      </c>
      <c r="Z103" s="29">
        <f t="shared" ref="Z103" si="377">172*12*P103</f>
        <v>2064</v>
      </c>
      <c r="AA103" s="29">
        <f t="shared" ref="AA103" si="378">+(S103+T103+U103)*0.01</f>
        <v>2251.0900256</v>
      </c>
      <c r="AB103" s="29">
        <f t="shared" ref="AB103" si="379">SUM(S103:AA103)</f>
        <v>247753.77226559998</v>
      </c>
      <c r="AC103" s="3">
        <f t="shared" ref="AC103" si="380">IF(+J103&gt;0,J103,AC102)</f>
        <v>0.5</v>
      </c>
      <c r="AD103" s="29">
        <f t="shared" ref="AD103" si="381">+AB103/AC103</f>
        <v>495507.54453119996</v>
      </c>
    </row>
    <row r="104" spans="1:30" ht="15" customHeight="1" x14ac:dyDescent="0.25">
      <c r="H104" s="6"/>
      <c r="L104" s="1"/>
      <c r="R104" s="34"/>
    </row>
    <row r="105" spans="1:30" ht="15" customHeight="1" x14ac:dyDescent="0.25">
      <c r="A105" s="11"/>
      <c r="H105" s="6"/>
      <c r="L105" s="1"/>
      <c r="R105" s="34"/>
    </row>
    <row r="106" spans="1:30" ht="15" customHeight="1" x14ac:dyDescent="0.25">
      <c r="A106" s="11"/>
      <c r="H106" s="6"/>
      <c r="L106" s="1"/>
      <c r="R106" s="34"/>
    </row>
    <row r="107" spans="1:30" ht="15" customHeight="1" x14ac:dyDescent="0.25">
      <c r="A107" s="205" t="s">
        <v>284</v>
      </c>
      <c r="B107" t="s">
        <v>285</v>
      </c>
      <c r="C107" t="s">
        <v>286</v>
      </c>
      <c r="E107" t="s">
        <v>3</v>
      </c>
      <c r="F107" t="s">
        <v>4</v>
      </c>
      <c r="G107" t="s">
        <v>45</v>
      </c>
      <c r="H107" s="6" t="s">
        <v>16</v>
      </c>
      <c r="I107">
        <v>87.84</v>
      </c>
      <c r="J107" s="3">
        <v>0.5</v>
      </c>
      <c r="K107" t="s">
        <v>447</v>
      </c>
      <c r="L107" s="1" t="s">
        <v>970</v>
      </c>
      <c r="M107" s="3">
        <v>0.25</v>
      </c>
      <c r="O107" t="s">
        <v>430</v>
      </c>
      <c r="P107" s="40">
        <f t="shared" ref="P107" si="382">+M107</f>
        <v>0.25</v>
      </c>
      <c r="Q107" s="29">
        <f>+$I$107*P107</f>
        <v>21.96</v>
      </c>
      <c r="S107" s="29">
        <f>+Q107*40*52</f>
        <v>45676.800000000003</v>
      </c>
      <c r="T107" s="29">
        <f>+S107*0.0833</f>
        <v>3804.8774400000002</v>
      </c>
      <c r="U107" s="29">
        <f>+T107</f>
        <v>3804.8774400000002</v>
      </c>
      <c r="V107" s="29">
        <f>+S107*0.01</f>
        <v>456.76800000000003</v>
      </c>
      <c r="W107" s="29">
        <f t="shared" ref="W107:W109" si="383">+S107*0.083</f>
        <v>3791.1744000000003</v>
      </c>
      <c r="X107" s="29">
        <f>+S107*0.0018</f>
        <v>82.218240000000009</v>
      </c>
      <c r="Y107" s="29">
        <f t="shared" ref="Y107" si="384">0.71*52*P107</f>
        <v>9.23</v>
      </c>
      <c r="Z107" s="29">
        <f t="shared" ref="Z107" si="385">172*12*P107</f>
        <v>516</v>
      </c>
      <c r="AA107" s="29">
        <f>+(S107+T107+U107)*0.01</f>
        <v>532.86554879999994</v>
      </c>
      <c r="AB107" s="29">
        <f>SUM(S107:AA107)</f>
        <v>58674.811068800002</v>
      </c>
      <c r="AC107" s="3">
        <f>IF(+$J$107&gt;0,$J$107,#REF!)</f>
        <v>0.5</v>
      </c>
      <c r="AD107" s="29">
        <f>+AB107/AC107</f>
        <v>117349.6221376</v>
      </c>
    </row>
    <row r="108" spans="1:30" ht="15" customHeight="1" x14ac:dyDescent="0.25">
      <c r="A108" s="11"/>
      <c r="H108" s="6"/>
      <c r="L108" s="1" t="s">
        <v>971</v>
      </c>
      <c r="M108" s="3">
        <v>0.5</v>
      </c>
      <c r="O108" t="s">
        <v>435</v>
      </c>
      <c r="P108" s="40">
        <f t="shared" ref="P108:P109" si="386">+M108</f>
        <v>0.5</v>
      </c>
      <c r="Q108" s="29">
        <f t="shared" ref="Q108:Q109" si="387">+$I$107*P108</f>
        <v>43.92</v>
      </c>
      <c r="S108" s="29">
        <f t="shared" ref="S108:S109" si="388">+Q108*40*52</f>
        <v>91353.600000000006</v>
      </c>
      <c r="T108" s="29">
        <f t="shared" ref="T108:T109" si="389">+S108*0.0833</f>
        <v>7609.7548800000004</v>
      </c>
      <c r="U108" s="29">
        <f t="shared" ref="U108:U109" si="390">+T108</f>
        <v>7609.7548800000004</v>
      </c>
      <c r="V108" s="29">
        <f t="shared" ref="V108:V109" si="391">+S108*0.01</f>
        <v>913.53600000000006</v>
      </c>
      <c r="W108" s="29">
        <f t="shared" si="383"/>
        <v>7582.3488000000007</v>
      </c>
      <c r="X108" s="29">
        <f t="shared" ref="X108:X109" si="392">+S108*0.0018</f>
        <v>164.43648000000002</v>
      </c>
      <c r="Y108" s="29">
        <f t="shared" ref="Y108:Y109" si="393">0.71*52*P108</f>
        <v>18.46</v>
      </c>
      <c r="Z108" s="29">
        <f t="shared" ref="Z108:Z109" si="394">172*12*P108</f>
        <v>1032</v>
      </c>
      <c r="AA108" s="29">
        <f t="shared" ref="AA108:AA109" si="395">+(S108+T108+U108)*0.01</f>
        <v>1065.7310975999999</v>
      </c>
      <c r="AB108" s="29">
        <f t="shared" ref="AB108:AB109" si="396">SUM(S108:AA108)</f>
        <v>117349.6221376</v>
      </c>
      <c r="AC108" s="3">
        <f>IF(+$J$107&gt;0,$J$107,#REF!)</f>
        <v>0.5</v>
      </c>
      <c r="AD108" s="29">
        <f t="shared" ref="AD108:AD109" si="397">+AB108/AC108</f>
        <v>234699.24427520001</v>
      </c>
    </row>
    <row r="109" spans="1:30" ht="15" customHeight="1" x14ac:dyDescent="0.25">
      <c r="A109" s="11"/>
      <c r="H109" s="6"/>
      <c r="L109" s="1" t="s">
        <v>827</v>
      </c>
      <c r="M109" s="3">
        <v>0.25</v>
      </c>
      <c r="O109" t="s">
        <v>825</v>
      </c>
      <c r="P109" s="40">
        <f t="shared" si="386"/>
        <v>0.25</v>
      </c>
      <c r="Q109" s="29">
        <f t="shared" si="387"/>
        <v>21.96</v>
      </c>
      <c r="S109" s="29">
        <f t="shared" si="388"/>
        <v>45676.800000000003</v>
      </c>
      <c r="T109" s="29">
        <f t="shared" si="389"/>
        <v>3804.8774400000002</v>
      </c>
      <c r="U109" s="29">
        <f t="shared" si="390"/>
        <v>3804.8774400000002</v>
      </c>
      <c r="V109" s="29">
        <f t="shared" si="391"/>
        <v>456.76800000000003</v>
      </c>
      <c r="W109" s="29">
        <f t="shared" si="383"/>
        <v>3791.1744000000003</v>
      </c>
      <c r="X109" s="29">
        <f t="shared" si="392"/>
        <v>82.218240000000009</v>
      </c>
      <c r="Y109" s="29">
        <f t="shared" si="393"/>
        <v>9.23</v>
      </c>
      <c r="Z109" s="29">
        <f t="shared" si="394"/>
        <v>516</v>
      </c>
      <c r="AA109" s="29">
        <f t="shared" si="395"/>
        <v>532.86554879999994</v>
      </c>
      <c r="AB109" s="29">
        <f t="shared" si="396"/>
        <v>58674.811068800002</v>
      </c>
      <c r="AC109" s="3">
        <f>IF(+$J$107&gt;0,$J$107,#REF!)</f>
        <v>0.5</v>
      </c>
      <c r="AD109" s="29">
        <f t="shared" si="397"/>
        <v>117349.6221376</v>
      </c>
    </row>
    <row r="110" spans="1:30" ht="15" customHeight="1" x14ac:dyDescent="0.25">
      <c r="A110" s="11"/>
      <c r="H110" s="6"/>
      <c r="L110" s="1"/>
      <c r="R110" s="34"/>
    </row>
    <row r="111" spans="1:30" ht="15" customHeight="1" x14ac:dyDescent="0.25">
      <c r="A111" t="s">
        <v>1532</v>
      </c>
      <c r="B111" t="s">
        <v>1403</v>
      </c>
      <c r="C111" t="s">
        <v>19</v>
      </c>
      <c r="E111" t="s">
        <v>3</v>
      </c>
      <c r="F111" t="s">
        <v>4</v>
      </c>
      <c r="G111" t="s">
        <v>1391</v>
      </c>
      <c r="H111" s="6" t="s">
        <v>16</v>
      </c>
      <c r="I111">
        <v>72.849999999999994</v>
      </c>
      <c r="J111" s="3">
        <v>0.75</v>
      </c>
      <c r="K111" t="s">
        <v>447</v>
      </c>
      <c r="L111" s="2" t="s">
        <v>388</v>
      </c>
      <c r="M111" s="3">
        <v>0.25</v>
      </c>
      <c r="O111" t="s">
        <v>430</v>
      </c>
      <c r="P111" s="40">
        <f t="shared" ref="P111:P113" si="398">+M111</f>
        <v>0.25</v>
      </c>
      <c r="Q111" s="29">
        <f>+P111*I111</f>
        <v>18.212499999999999</v>
      </c>
      <c r="R111" s="34"/>
      <c r="S111" s="29">
        <f>+Q111*40*52</f>
        <v>37882</v>
      </c>
      <c r="T111" s="29">
        <f t="shared" si="348"/>
        <v>3155.5706</v>
      </c>
      <c r="U111" s="29">
        <f t="shared" si="349"/>
        <v>3155.5706</v>
      </c>
      <c r="V111" s="29">
        <f t="shared" ref="V111:V113" si="399">+S111*0.01</f>
        <v>378.82</v>
      </c>
      <c r="W111" s="29">
        <f t="shared" ref="W111:W113" si="400">+S111*0.083</f>
        <v>3144.2060000000001</v>
      </c>
      <c r="X111" s="29">
        <f t="shared" ref="X111:X113" si="401">+S111*0.0018</f>
        <v>68.187600000000003</v>
      </c>
      <c r="Y111" s="29">
        <f t="shared" ref="Y111:Y113" si="402">0.71*52*P111</f>
        <v>9.23</v>
      </c>
      <c r="Z111" s="29">
        <f t="shared" ref="Z111:Z113" si="403">172*12*P111</f>
        <v>516</v>
      </c>
      <c r="AA111" s="29">
        <f t="shared" ref="AA111:AA113" si="404">+(S111+T111+U111)*0.01</f>
        <v>441.93141199999997</v>
      </c>
      <c r="AB111" s="29">
        <f t="shared" ref="AB111:AB113" si="405">SUM(S111:AA111)</f>
        <v>48751.516211999995</v>
      </c>
      <c r="AC111" s="3">
        <f>IF(+J111&gt;0,J111,AC108)</f>
        <v>0.75</v>
      </c>
      <c r="AD111" s="29">
        <f t="shared" ref="AD111:AD113" si="406">+AB111/AC111</f>
        <v>65002.021615999991</v>
      </c>
    </row>
    <row r="112" spans="1:30" ht="15" customHeight="1" x14ac:dyDescent="0.25">
      <c r="A112" s="11"/>
      <c r="H112" s="6"/>
      <c r="K112" t="s">
        <v>447</v>
      </c>
      <c r="L112" s="1" t="s">
        <v>827</v>
      </c>
      <c r="M112" s="3">
        <v>0.25</v>
      </c>
      <c r="O112" t="s">
        <v>825</v>
      </c>
      <c r="P112" s="40">
        <f t="shared" si="398"/>
        <v>0.25</v>
      </c>
      <c r="Q112" s="29">
        <f>+P112*I111</f>
        <v>18.212499999999999</v>
      </c>
      <c r="R112" s="34"/>
      <c r="S112" s="29">
        <f>+Q112*40*52</f>
        <v>37882</v>
      </c>
      <c r="T112" s="29">
        <f t="shared" si="348"/>
        <v>3155.5706</v>
      </c>
      <c r="U112" s="29">
        <f t="shared" si="349"/>
        <v>3155.5706</v>
      </c>
      <c r="V112" s="29">
        <f t="shared" si="399"/>
        <v>378.82</v>
      </c>
      <c r="W112" s="29">
        <f t="shared" si="400"/>
        <v>3144.2060000000001</v>
      </c>
      <c r="X112" s="29">
        <f t="shared" si="401"/>
        <v>68.187600000000003</v>
      </c>
      <c r="Y112" s="29">
        <f t="shared" si="402"/>
        <v>9.23</v>
      </c>
      <c r="Z112" s="29">
        <f t="shared" si="403"/>
        <v>516</v>
      </c>
      <c r="AA112" s="29">
        <f t="shared" si="404"/>
        <v>441.93141199999997</v>
      </c>
      <c r="AB112" s="29">
        <f t="shared" si="405"/>
        <v>48751.516211999995</v>
      </c>
      <c r="AC112" s="3">
        <f t="shared" ref="AC112:AC113" si="407">IF(+J112&gt;0,J112,AC111)</f>
        <v>0.75</v>
      </c>
      <c r="AD112" s="29">
        <f t="shared" si="406"/>
        <v>65002.021615999991</v>
      </c>
    </row>
    <row r="113" spans="1:30" ht="15" customHeight="1" x14ac:dyDescent="0.25">
      <c r="A113" s="11"/>
      <c r="H113" s="6"/>
      <c r="K113" t="s">
        <v>447</v>
      </c>
      <c r="L113" s="1" t="s">
        <v>390</v>
      </c>
      <c r="M113" s="3">
        <v>0.5</v>
      </c>
      <c r="O113" t="s">
        <v>432</v>
      </c>
      <c r="P113" s="40">
        <f t="shared" si="398"/>
        <v>0.5</v>
      </c>
      <c r="Q113" s="29">
        <f>+P113*I111</f>
        <v>36.424999999999997</v>
      </c>
      <c r="R113" s="34"/>
      <c r="S113" s="29">
        <f>+Q113*40*52</f>
        <v>75764</v>
      </c>
      <c r="T113" s="29">
        <f t="shared" si="348"/>
        <v>6311.1412</v>
      </c>
      <c r="U113" s="29">
        <f t="shared" si="349"/>
        <v>6311.1412</v>
      </c>
      <c r="V113" s="29">
        <f t="shared" si="399"/>
        <v>757.64</v>
      </c>
      <c r="W113" s="29">
        <f t="shared" si="400"/>
        <v>6288.4120000000003</v>
      </c>
      <c r="X113" s="29">
        <f t="shared" si="401"/>
        <v>136.37520000000001</v>
      </c>
      <c r="Y113" s="29">
        <f t="shared" si="402"/>
        <v>18.46</v>
      </c>
      <c r="Z113" s="29">
        <f t="shared" si="403"/>
        <v>1032</v>
      </c>
      <c r="AA113" s="29">
        <f t="shared" si="404"/>
        <v>883.86282399999993</v>
      </c>
      <c r="AB113" s="29">
        <f t="shared" si="405"/>
        <v>97503.03242399999</v>
      </c>
      <c r="AC113" s="3">
        <f t="shared" si="407"/>
        <v>0.75</v>
      </c>
      <c r="AD113" s="29">
        <f t="shared" si="406"/>
        <v>130004.04323199998</v>
      </c>
    </row>
    <row r="114" spans="1:30" ht="15" customHeight="1" x14ac:dyDescent="0.25">
      <c r="H114" s="6"/>
      <c r="L114" s="2"/>
      <c r="R114" s="34"/>
    </row>
    <row r="115" spans="1:30" ht="15" customHeight="1" x14ac:dyDescent="0.25">
      <c r="A115" t="s">
        <v>1534</v>
      </c>
      <c r="B115" t="s">
        <v>1535</v>
      </c>
      <c r="E115" t="s">
        <v>3</v>
      </c>
      <c r="F115" t="s">
        <v>4</v>
      </c>
      <c r="G115" t="s">
        <v>1391</v>
      </c>
      <c r="H115" s="6" t="s">
        <v>16</v>
      </c>
      <c r="I115">
        <v>72.849999999999994</v>
      </c>
      <c r="J115" s="3">
        <v>0.75</v>
      </c>
      <c r="K115" t="s">
        <v>447</v>
      </c>
      <c r="L115" s="2" t="s">
        <v>388</v>
      </c>
      <c r="M115" s="3">
        <v>0.25</v>
      </c>
      <c r="O115" t="s">
        <v>430</v>
      </c>
      <c r="P115" s="40">
        <f t="shared" ref="P115:P117" si="408">+M115</f>
        <v>0.25</v>
      </c>
      <c r="Q115" s="29">
        <f>+P115*I115</f>
        <v>18.212499999999999</v>
      </c>
      <c r="R115" s="34"/>
      <c r="S115" s="29">
        <f t="shared" ref="S115:S117" si="409">+Q115*40*52</f>
        <v>37882</v>
      </c>
      <c r="T115" s="29">
        <f t="shared" ref="T115:T117" si="410">+S115*0.0833</f>
        <v>3155.5706</v>
      </c>
      <c r="U115" s="29">
        <f t="shared" ref="U115:U117" si="411">+T115</f>
        <v>3155.5706</v>
      </c>
      <c r="V115" s="29">
        <f t="shared" ref="V115:V117" si="412">+S115*0.01</f>
        <v>378.82</v>
      </c>
      <c r="W115" s="29">
        <f t="shared" ref="W115:W117" si="413">+S115*0.083</f>
        <v>3144.2060000000001</v>
      </c>
      <c r="X115" s="29">
        <f t="shared" ref="X115:X117" si="414">+S115*0.0018</f>
        <v>68.187600000000003</v>
      </c>
      <c r="Y115" s="29">
        <f t="shared" ref="Y115:Y117" si="415">0.71*52*P115</f>
        <v>9.23</v>
      </c>
      <c r="Z115" s="29">
        <f t="shared" ref="Z115:Z117" si="416">172*12*P115</f>
        <v>516</v>
      </c>
      <c r="AA115" s="29">
        <f t="shared" ref="AA115:AA117" si="417">+(S115+T115+U115)*0.01</f>
        <v>441.93141199999997</v>
      </c>
      <c r="AB115" s="29">
        <f t="shared" ref="AB115:AB117" si="418">SUM(S115:AA115)</f>
        <v>48751.516211999995</v>
      </c>
      <c r="AC115" s="3">
        <f>IF(+J115&gt;0,J115,AC112)</f>
        <v>0.75</v>
      </c>
      <c r="AD115" s="29">
        <f t="shared" ref="AD115:AD117" si="419">+AB115/AC115</f>
        <v>65002.021615999991</v>
      </c>
    </row>
    <row r="116" spans="1:30" ht="15" customHeight="1" x14ac:dyDescent="0.25">
      <c r="A116" s="11"/>
      <c r="H116" s="6"/>
      <c r="K116" t="s">
        <v>447</v>
      </c>
      <c r="L116" s="1" t="s">
        <v>827</v>
      </c>
      <c r="M116" s="3">
        <v>0.25</v>
      </c>
      <c r="O116" t="s">
        <v>825</v>
      </c>
      <c r="P116" s="40">
        <f t="shared" si="408"/>
        <v>0.25</v>
      </c>
      <c r="Q116" s="29">
        <f>+P116*I115</f>
        <v>18.212499999999999</v>
      </c>
      <c r="R116" s="34"/>
      <c r="S116" s="29">
        <f t="shared" si="409"/>
        <v>37882</v>
      </c>
      <c r="T116" s="29">
        <f t="shared" si="410"/>
        <v>3155.5706</v>
      </c>
      <c r="U116" s="29">
        <f t="shared" si="411"/>
        <v>3155.5706</v>
      </c>
      <c r="V116" s="29">
        <f t="shared" si="412"/>
        <v>378.82</v>
      </c>
      <c r="W116" s="29">
        <f t="shared" si="413"/>
        <v>3144.2060000000001</v>
      </c>
      <c r="X116" s="29">
        <f t="shared" si="414"/>
        <v>68.187600000000003</v>
      </c>
      <c r="Y116" s="29">
        <f t="shared" si="415"/>
        <v>9.23</v>
      </c>
      <c r="Z116" s="29">
        <f t="shared" si="416"/>
        <v>516</v>
      </c>
      <c r="AA116" s="29">
        <f t="shared" si="417"/>
        <v>441.93141199999997</v>
      </c>
      <c r="AB116" s="29">
        <f t="shared" si="418"/>
        <v>48751.516211999995</v>
      </c>
      <c r="AC116" s="3">
        <f t="shared" ref="AC116:AC117" si="420">IF(+J116&gt;0,J116,AC115)</f>
        <v>0.75</v>
      </c>
      <c r="AD116" s="29">
        <f t="shared" si="419"/>
        <v>65002.021615999991</v>
      </c>
    </row>
    <row r="117" spans="1:30" ht="15" customHeight="1" x14ac:dyDescent="0.25">
      <c r="A117" s="11"/>
      <c r="H117" s="6"/>
      <c r="K117" t="s">
        <v>447</v>
      </c>
      <c r="L117" s="1" t="s">
        <v>390</v>
      </c>
      <c r="M117" s="3">
        <v>0.5</v>
      </c>
      <c r="O117" t="s">
        <v>432</v>
      </c>
      <c r="P117" s="40">
        <f t="shared" si="408"/>
        <v>0.5</v>
      </c>
      <c r="Q117" s="29">
        <f>+P117*I115</f>
        <v>36.424999999999997</v>
      </c>
      <c r="R117" s="34"/>
      <c r="S117" s="29">
        <f t="shared" si="409"/>
        <v>75764</v>
      </c>
      <c r="T117" s="29">
        <f t="shared" si="410"/>
        <v>6311.1412</v>
      </c>
      <c r="U117" s="29">
        <f t="shared" si="411"/>
        <v>6311.1412</v>
      </c>
      <c r="V117" s="29">
        <f t="shared" si="412"/>
        <v>757.64</v>
      </c>
      <c r="W117" s="29">
        <f t="shared" si="413"/>
        <v>6288.4120000000003</v>
      </c>
      <c r="X117" s="29">
        <f t="shared" si="414"/>
        <v>136.37520000000001</v>
      </c>
      <c r="Y117" s="29">
        <f t="shared" si="415"/>
        <v>18.46</v>
      </c>
      <c r="Z117" s="29">
        <f t="shared" si="416"/>
        <v>1032</v>
      </c>
      <c r="AA117" s="29">
        <f t="shared" si="417"/>
        <v>883.86282399999993</v>
      </c>
      <c r="AB117" s="29">
        <f t="shared" si="418"/>
        <v>97503.03242399999</v>
      </c>
      <c r="AC117" s="3">
        <f t="shared" si="420"/>
        <v>0.75</v>
      </c>
      <c r="AD117" s="29">
        <f t="shared" si="419"/>
        <v>130004.04323199998</v>
      </c>
    </row>
    <row r="118" spans="1:30" ht="15" customHeight="1" x14ac:dyDescent="0.25">
      <c r="A118" s="11"/>
      <c r="H118" s="6"/>
      <c r="L118" s="1"/>
      <c r="R118" s="34"/>
    </row>
    <row r="119" spans="1:30" ht="15" customHeight="1" x14ac:dyDescent="0.25">
      <c r="A119" s="206" t="s">
        <v>323</v>
      </c>
      <c r="B119" t="s">
        <v>324</v>
      </c>
      <c r="C119" t="s">
        <v>325</v>
      </c>
      <c r="E119" t="s">
        <v>3</v>
      </c>
      <c r="F119" t="s">
        <v>4</v>
      </c>
      <c r="G119" t="s">
        <v>1083</v>
      </c>
      <c r="H119" s="6" t="s">
        <v>16</v>
      </c>
      <c r="I119">
        <v>89.52</v>
      </c>
      <c r="J119" s="3">
        <v>0.5</v>
      </c>
      <c r="K119" t="s">
        <v>447</v>
      </c>
      <c r="L119" s="2" t="s">
        <v>389</v>
      </c>
      <c r="M119" s="3">
        <v>0.8</v>
      </c>
      <c r="O119" t="s">
        <v>431</v>
      </c>
      <c r="P119" s="40">
        <f t="shared" ref="P119" si="421">+M119</f>
        <v>0.8</v>
      </c>
      <c r="Q119" s="29">
        <f>+P119*$I$119</f>
        <v>71.616</v>
      </c>
      <c r="R119" s="34"/>
      <c r="S119" s="29">
        <f>+Q119*40*52</f>
        <v>148961.28</v>
      </c>
      <c r="T119" s="29">
        <f t="shared" si="348"/>
        <v>12408.474624</v>
      </c>
      <c r="U119" s="29">
        <f t="shared" si="349"/>
        <v>12408.474624</v>
      </c>
      <c r="V119" s="29">
        <f t="shared" ref="V119" si="422">+S119*0.01</f>
        <v>1489.6128000000001</v>
      </c>
      <c r="W119" s="29">
        <f t="shared" ref="W119:W120" si="423">+S119*0.083</f>
        <v>12363.786240000001</v>
      </c>
      <c r="X119" s="29">
        <f t="shared" ref="X119" si="424">+S119*0.0018</f>
        <v>268.13030399999997</v>
      </c>
      <c r="Y119" s="29">
        <f t="shared" ref="Y119" si="425">0.71*52*P119</f>
        <v>29.536000000000001</v>
      </c>
      <c r="Z119" s="29">
        <f t="shared" ref="Z119" si="426">172*12*P119</f>
        <v>1651.2</v>
      </c>
      <c r="AA119" s="29">
        <f t="shared" ref="AA119" si="427">+(S119+T119+U119)*0.01</f>
        <v>1737.78229248</v>
      </c>
      <c r="AB119" s="29">
        <f t="shared" ref="AB119" si="428">SUM(S119:AA119)</f>
        <v>191318.27688448</v>
      </c>
      <c r="AC119" s="3">
        <f t="shared" ref="AC119" si="429">IF(+J119&gt;0,J119,AC118)</f>
        <v>0.5</v>
      </c>
      <c r="AD119" s="29">
        <f t="shared" ref="AD119" si="430">+AB119/AC119</f>
        <v>382636.55376896</v>
      </c>
    </row>
    <row r="120" spans="1:30" ht="15" customHeight="1" x14ac:dyDescent="0.25">
      <c r="A120" s="11"/>
      <c r="H120" s="6"/>
      <c r="L120" s="2" t="s">
        <v>388</v>
      </c>
      <c r="M120" s="3">
        <v>0.2</v>
      </c>
      <c r="O120" t="s">
        <v>430</v>
      </c>
      <c r="P120" s="40">
        <f t="shared" ref="P120" si="431">+M120</f>
        <v>0.2</v>
      </c>
      <c r="Q120" s="29">
        <f>+P120*$I$119</f>
        <v>17.904</v>
      </c>
      <c r="R120" s="34"/>
      <c r="S120" s="29">
        <f>+Q120*40*52</f>
        <v>37240.32</v>
      </c>
      <c r="T120" s="29">
        <f t="shared" ref="T120" si="432">+S120*0.0833</f>
        <v>3102.1186560000001</v>
      </c>
      <c r="U120" s="29">
        <f t="shared" ref="U120" si="433">+T120</f>
        <v>3102.1186560000001</v>
      </c>
      <c r="V120" s="29">
        <f t="shared" ref="V120" si="434">+S120*0.01</f>
        <v>372.40320000000003</v>
      </c>
      <c r="W120" s="29">
        <f t="shared" si="423"/>
        <v>3090.9465600000003</v>
      </c>
      <c r="X120" s="29">
        <f t="shared" ref="X120" si="435">+S120*0.0018</f>
        <v>67.032575999999992</v>
      </c>
      <c r="Y120" s="29">
        <f t="shared" ref="Y120" si="436">0.71*52*P120</f>
        <v>7.3840000000000003</v>
      </c>
      <c r="Z120" s="29">
        <f t="shared" ref="Z120" si="437">172*12*P120</f>
        <v>412.8</v>
      </c>
      <c r="AA120" s="29">
        <f t="shared" ref="AA120" si="438">+(S120+T120+U120)*0.01</f>
        <v>434.44557312000001</v>
      </c>
      <c r="AB120" s="29">
        <f t="shared" ref="AB120" si="439">SUM(S120:AA120)</f>
        <v>47829.56922112</v>
      </c>
      <c r="AC120" s="3">
        <f t="shared" ref="AC120" si="440">IF(+J120&gt;0,J120,AC119)</f>
        <v>0.5</v>
      </c>
      <c r="AD120" s="29">
        <f t="shared" ref="AD120" si="441">+AB120/AC120</f>
        <v>95659.138442240001</v>
      </c>
    </row>
    <row r="121" spans="1:30" ht="15" customHeight="1" x14ac:dyDescent="0.25">
      <c r="A121" s="11"/>
      <c r="H121" s="6"/>
      <c r="L121" s="2"/>
      <c r="R121" s="34"/>
    </row>
    <row r="122" spans="1:30" ht="15" customHeight="1" x14ac:dyDescent="0.25">
      <c r="A122" s="11"/>
      <c r="H122" s="6"/>
      <c r="L122" s="1"/>
      <c r="R122" s="34"/>
    </row>
    <row r="123" spans="1:30" ht="15" customHeight="1" x14ac:dyDescent="0.25">
      <c r="A123" s="206" t="s">
        <v>197</v>
      </c>
      <c r="B123" t="s">
        <v>198</v>
      </c>
      <c r="C123" t="s">
        <v>169</v>
      </c>
      <c r="E123" t="s">
        <v>3</v>
      </c>
      <c r="F123" t="s">
        <v>4</v>
      </c>
      <c r="G123" t="s">
        <v>10</v>
      </c>
      <c r="H123" s="6" t="s">
        <v>16</v>
      </c>
      <c r="I123">
        <v>121.73</v>
      </c>
      <c r="J123" s="3">
        <v>0.75</v>
      </c>
      <c r="K123" t="s">
        <v>446</v>
      </c>
      <c r="L123" s="1" t="s">
        <v>827</v>
      </c>
      <c r="M123" s="3">
        <v>0.3</v>
      </c>
      <c r="O123" t="s">
        <v>825</v>
      </c>
      <c r="P123" s="40">
        <f t="shared" ref="P123:P125" si="442">+M123</f>
        <v>0.3</v>
      </c>
      <c r="Q123" s="29">
        <f>+I123*P123</f>
        <v>36.518999999999998</v>
      </c>
      <c r="R123" s="34"/>
      <c r="S123" s="29">
        <f>+Q123*40*52</f>
        <v>75959.520000000004</v>
      </c>
      <c r="T123" s="29">
        <f t="shared" si="348"/>
        <v>6327.4280159999998</v>
      </c>
      <c r="U123" s="29">
        <f t="shared" si="349"/>
        <v>6327.4280159999998</v>
      </c>
      <c r="V123" s="29">
        <f t="shared" ref="V123:V125" si="443">+S123*0.01</f>
        <v>759.59520000000009</v>
      </c>
      <c r="W123" s="29">
        <f t="shared" ref="W123:W125" si="444">+S123*0.083</f>
        <v>6304.6401600000008</v>
      </c>
      <c r="X123" s="29">
        <f t="shared" ref="X123:X125" si="445">+S123*0.0018</f>
        <v>136.727136</v>
      </c>
      <c r="Y123" s="29">
        <f t="shared" ref="Y123:Y125" si="446">0.71*52*P123</f>
        <v>11.076000000000001</v>
      </c>
      <c r="Z123" s="29">
        <f t="shared" ref="Z123:Z125" si="447">172*12*P123</f>
        <v>619.19999999999993</v>
      </c>
      <c r="AA123" s="29">
        <f t="shared" ref="AA123:AA125" si="448">+(S123+T123+U123)*0.01</f>
        <v>886.14376032000018</v>
      </c>
      <c r="AB123" s="29">
        <f t="shared" ref="AB123:AB125" si="449">SUM(S123:AA123)</f>
        <v>97331.758288320008</v>
      </c>
      <c r="AC123" s="3">
        <f t="shared" ref="AC123:AC125" si="450">IF(+J123&gt;0,J123,AC122)</f>
        <v>0.75</v>
      </c>
      <c r="AD123" s="29">
        <f t="shared" ref="AD123:AD125" si="451">+AB123/AC123</f>
        <v>129775.67771776002</v>
      </c>
    </row>
    <row r="124" spans="1:30" ht="15" customHeight="1" x14ac:dyDescent="0.25">
      <c r="A124" s="11"/>
      <c r="H124" s="6"/>
      <c r="L124" s="2" t="s">
        <v>392</v>
      </c>
      <c r="M124" s="3">
        <v>0.3</v>
      </c>
      <c r="O124" s="1" t="s">
        <v>609</v>
      </c>
      <c r="P124" s="40">
        <f t="shared" si="442"/>
        <v>0.3</v>
      </c>
      <c r="Q124" s="29">
        <f>+P124*I123</f>
        <v>36.518999999999998</v>
      </c>
      <c r="R124" s="34"/>
      <c r="S124" s="29">
        <f>+Q124*40*52</f>
        <v>75959.520000000004</v>
      </c>
      <c r="T124" s="29">
        <f t="shared" si="348"/>
        <v>6327.4280159999998</v>
      </c>
      <c r="U124" s="29">
        <f t="shared" si="349"/>
        <v>6327.4280159999998</v>
      </c>
      <c r="V124" s="29">
        <f t="shared" si="443"/>
        <v>759.59520000000009</v>
      </c>
      <c r="W124" s="29">
        <f t="shared" si="444"/>
        <v>6304.6401600000008</v>
      </c>
      <c r="X124" s="29">
        <f t="shared" si="445"/>
        <v>136.727136</v>
      </c>
      <c r="Y124" s="29">
        <f t="shared" si="446"/>
        <v>11.076000000000001</v>
      </c>
      <c r="Z124" s="29">
        <f t="shared" si="447"/>
        <v>619.19999999999993</v>
      </c>
      <c r="AA124" s="29">
        <f t="shared" si="448"/>
        <v>886.14376032000018</v>
      </c>
      <c r="AB124" s="29">
        <f t="shared" si="449"/>
        <v>97331.758288320008</v>
      </c>
      <c r="AC124" s="3">
        <f>+AC123</f>
        <v>0.75</v>
      </c>
      <c r="AD124" s="29">
        <f t="shared" si="451"/>
        <v>129775.67771776002</v>
      </c>
    </row>
    <row r="125" spans="1:30" ht="15" customHeight="1" x14ac:dyDescent="0.25">
      <c r="A125" s="11"/>
      <c r="H125" s="6"/>
      <c r="L125" s="7" t="s">
        <v>467</v>
      </c>
      <c r="M125" s="3">
        <v>0.4</v>
      </c>
      <c r="O125" t="s">
        <v>416</v>
      </c>
      <c r="P125" s="40">
        <f t="shared" si="442"/>
        <v>0.4</v>
      </c>
      <c r="Q125" s="29">
        <f>+P125*I123</f>
        <v>48.692000000000007</v>
      </c>
      <c r="R125" s="34"/>
      <c r="S125" s="29">
        <f>+Q125*40*52</f>
        <v>101279.36000000002</v>
      </c>
      <c r="T125" s="29">
        <f t="shared" si="348"/>
        <v>8436.5706880000016</v>
      </c>
      <c r="U125" s="29">
        <f t="shared" si="349"/>
        <v>8436.5706880000016</v>
      </c>
      <c r="V125" s="29">
        <f t="shared" si="443"/>
        <v>1012.7936000000002</v>
      </c>
      <c r="W125" s="29">
        <f t="shared" si="444"/>
        <v>8406.1868800000011</v>
      </c>
      <c r="X125" s="29">
        <f t="shared" si="445"/>
        <v>182.30284800000001</v>
      </c>
      <c r="Y125" s="29">
        <f t="shared" si="446"/>
        <v>14.768000000000001</v>
      </c>
      <c r="Z125" s="29">
        <f t="shared" si="447"/>
        <v>825.6</v>
      </c>
      <c r="AA125" s="29">
        <f t="shared" si="448"/>
        <v>1181.5250137600003</v>
      </c>
      <c r="AB125" s="29">
        <f t="shared" si="449"/>
        <v>129775.67771776003</v>
      </c>
      <c r="AC125" s="3">
        <f t="shared" si="450"/>
        <v>0.75</v>
      </c>
      <c r="AD125" s="29">
        <f t="shared" si="451"/>
        <v>173034.23695701337</v>
      </c>
    </row>
    <row r="126" spans="1:30" ht="15" customHeight="1" x14ac:dyDescent="0.25">
      <c r="A126" s="11"/>
      <c r="B126" s="6"/>
      <c r="H126" s="6"/>
      <c r="L126" s="2"/>
      <c r="R126" s="34"/>
    </row>
    <row r="127" spans="1:30" ht="15" customHeight="1" x14ac:dyDescent="0.25">
      <c r="H127" s="6"/>
      <c r="L127" s="1"/>
      <c r="R127" s="34"/>
    </row>
    <row r="128" spans="1:30" ht="15" customHeight="1" x14ac:dyDescent="0.25">
      <c r="A128" s="203" t="s">
        <v>28</v>
      </c>
      <c r="L128" s="7"/>
      <c r="R128" s="34"/>
    </row>
    <row r="129" spans="1:30" ht="15" customHeight="1" thickBot="1" x14ac:dyDescent="0.3">
      <c r="A129" s="206" t="s">
        <v>331</v>
      </c>
      <c r="B129" t="s">
        <v>941</v>
      </c>
      <c r="C129" t="s">
        <v>108</v>
      </c>
      <c r="E129" t="s">
        <v>3</v>
      </c>
      <c r="F129" t="s">
        <v>40</v>
      </c>
      <c r="G129" t="s">
        <v>1084</v>
      </c>
      <c r="H129" s="6" t="s">
        <v>28</v>
      </c>
      <c r="I129">
        <v>81.61</v>
      </c>
      <c r="J129" s="3">
        <v>0.5</v>
      </c>
      <c r="L129" s="7" t="s">
        <v>971</v>
      </c>
      <c r="M129" s="3">
        <v>0.6</v>
      </c>
      <c r="O129" t="s">
        <v>435</v>
      </c>
      <c r="P129" s="40">
        <f t="shared" ref="P129:P131" si="452">+M129</f>
        <v>0.6</v>
      </c>
      <c r="Q129" s="29">
        <f>+$I$129*P129</f>
        <v>48.966000000000001</v>
      </c>
      <c r="R129" s="34"/>
      <c r="S129" s="29">
        <f>+Q129*40*52</f>
        <v>101849.28</v>
      </c>
      <c r="T129" s="29">
        <f t="shared" si="348"/>
        <v>8484.0450239999991</v>
      </c>
      <c r="U129" s="29">
        <f t="shared" si="349"/>
        <v>8484.0450239999991</v>
      </c>
      <c r="V129" s="29">
        <f t="shared" ref="V129" si="453">+S129*0.01</f>
        <v>1018.4928</v>
      </c>
      <c r="W129" s="29">
        <f t="shared" ref="W129:W131" si="454">+S129*0.083</f>
        <v>8453.490240000001</v>
      </c>
      <c r="X129" s="29">
        <f t="shared" ref="X129" si="455">+S129*0.0018</f>
        <v>183.32870399999999</v>
      </c>
      <c r="Y129" s="29">
        <f t="shared" ref="Y129" si="456">0.71*52*P129</f>
        <v>22.152000000000001</v>
      </c>
      <c r="Z129" s="29">
        <f t="shared" ref="Z129" si="457">172*12*P129</f>
        <v>1238.3999999999999</v>
      </c>
      <c r="AA129" s="29">
        <f t="shared" ref="AA129" si="458">+(S129+T129+U129)*0.01</f>
        <v>1188.1737004799998</v>
      </c>
      <c r="AB129" s="29">
        <f t="shared" ref="AB129" si="459">SUM(S129:AA129)</f>
        <v>130921.40749247998</v>
      </c>
      <c r="AC129" s="3">
        <f t="shared" ref="AC129" si="460">IF(+J129&gt;0,J129,AC128)</f>
        <v>0.5</v>
      </c>
      <c r="AD129" s="29">
        <f t="shared" ref="AD129" si="461">+AB129/AC129</f>
        <v>261842.81498495996</v>
      </c>
    </row>
    <row r="130" spans="1:30" ht="15" customHeight="1" thickBot="1" x14ac:dyDescent="0.3">
      <c r="A130" s="11"/>
      <c r="H130" s="6"/>
      <c r="L130" s="7" t="s">
        <v>376</v>
      </c>
      <c r="M130" s="3">
        <v>0.2</v>
      </c>
      <c r="O130" s="18" t="s">
        <v>1093</v>
      </c>
      <c r="P130" s="40">
        <f t="shared" si="452"/>
        <v>0.2</v>
      </c>
      <c r="Q130" s="29">
        <f t="shared" ref="Q130:Q131" si="462">+$I$129*P130</f>
        <v>16.321999999999999</v>
      </c>
      <c r="R130" s="34"/>
      <c r="S130" s="29">
        <f t="shared" ref="S130:S131" si="463">+Q130*40*52</f>
        <v>33949.760000000002</v>
      </c>
      <c r="T130" s="29">
        <f t="shared" ref="T130:T131" si="464">+S130*0.0833</f>
        <v>2828.0150080000003</v>
      </c>
      <c r="U130" s="29">
        <f t="shared" ref="U130:U131" si="465">+T130</f>
        <v>2828.0150080000003</v>
      </c>
      <c r="V130" s="29">
        <f t="shared" ref="V130:V131" si="466">+S130*0.01</f>
        <v>339.49760000000003</v>
      </c>
      <c r="W130" s="29">
        <f t="shared" si="454"/>
        <v>2817.8300800000002</v>
      </c>
      <c r="X130" s="29">
        <f t="shared" ref="X130:X131" si="467">+S130*0.0018</f>
        <v>61.109568000000003</v>
      </c>
      <c r="Y130" s="29">
        <f t="shared" ref="Y130:Y131" si="468">0.71*52*P130</f>
        <v>7.3840000000000003</v>
      </c>
      <c r="Z130" s="29">
        <f t="shared" ref="Z130:Z131" si="469">172*12*P130</f>
        <v>412.8</v>
      </c>
      <c r="AA130" s="29">
        <f t="shared" ref="AA130:AA131" si="470">+(S130+T130+U130)*0.01</f>
        <v>396.05790016000009</v>
      </c>
      <c r="AB130" s="29">
        <f t="shared" ref="AB130:AB131" si="471">SUM(S130:AA130)</f>
        <v>43640.469164160007</v>
      </c>
      <c r="AC130" s="3">
        <f t="shared" ref="AC130:AC131" si="472">IF(+J130&gt;0,J130,AC129)</f>
        <v>0.5</v>
      </c>
      <c r="AD130" s="29">
        <f t="shared" ref="AD130:AD131" si="473">+AB130/AC130</f>
        <v>87280.938328320015</v>
      </c>
    </row>
    <row r="131" spans="1:30" ht="15" customHeight="1" thickBot="1" x14ac:dyDescent="0.3">
      <c r="A131" s="11"/>
      <c r="H131" s="6"/>
      <c r="L131" s="7" t="s">
        <v>390</v>
      </c>
      <c r="M131" s="3">
        <v>0.2</v>
      </c>
      <c r="O131" s="18" t="s">
        <v>1099</v>
      </c>
      <c r="P131" s="40">
        <f t="shared" si="452"/>
        <v>0.2</v>
      </c>
      <c r="Q131" s="29">
        <f t="shared" si="462"/>
        <v>16.321999999999999</v>
      </c>
      <c r="R131" s="34"/>
      <c r="S131" s="29">
        <f t="shared" si="463"/>
        <v>33949.760000000002</v>
      </c>
      <c r="T131" s="29">
        <f t="shared" si="464"/>
        <v>2828.0150080000003</v>
      </c>
      <c r="U131" s="29">
        <f t="shared" si="465"/>
        <v>2828.0150080000003</v>
      </c>
      <c r="V131" s="29">
        <f t="shared" si="466"/>
        <v>339.49760000000003</v>
      </c>
      <c r="W131" s="29">
        <f t="shared" si="454"/>
        <v>2817.8300800000002</v>
      </c>
      <c r="X131" s="29">
        <f t="shared" si="467"/>
        <v>61.109568000000003</v>
      </c>
      <c r="Y131" s="29">
        <f t="shared" si="468"/>
        <v>7.3840000000000003</v>
      </c>
      <c r="Z131" s="29">
        <f t="shared" si="469"/>
        <v>412.8</v>
      </c>
      <c r="AA131" s="29">
        <f t="shared" si="470"/>
        <v>396.05790016000009</v>
      </c>
      <c r="AB131" s="29">
        <f t="shared" si="471"/>
        <v>43640.469164160007</v>
      </c>
      <c r="AC131" s="3">
        <f t="shared" si="472"/>
        <v>0.5</v>
      </c>
      <c r="AD131" s="29">
        <f t="shared" si="473"/>
        <v>87280.938328320015</v>
      </c>
    </row>
    <row r="132" spans="1:30" ht="15" customHeight="1" x14ac:dyDescent="0.25">
      <c r="A132" s="11"/>
      <c r="H132" s="6"/>
      <c r="L132" s="7"/>
      <c r="R132" s="34"/>
    </row>
    <row r="133" spans="1:30" ht="15" customHeight="1" x14ac:dyDescent="0.25">
      <c r="A133" s="206" t="s">
        <v>300</v>
      </c>
      <c r="B133" t="s">
        <v>301</v>
      </c>
      <c r="C133" t="s">
        <v>302</v>
      </c>
      <c r="E133" t="s">
        <v>3</v>
      </c>
      <c r="F133" t="s">
        <v>4</v>
      </c>
      <c r="G133" t="s">
        <v>10</v>
      </c>
      <c r="H133" s="6" t="s">
        <v>28</v>
      </c>
      <c r="I133">
        <v>109.2</v>
      </c>
      <c r="J133" s="3">
        <v>1</v>
      </c>
      <c r="K133" t="s">
        <v>447</v>
      </c>
      <c r="L133" s="7" t="s">
        <v>403</v>
      </c>
      <c r="M133" s="3">
        <v>0.25</v>
      </c>
      <c r="O133" t="s">
        <v>443</v>
      </c>
      <c r="P133" s="40">
        <f>+M133</f>
        <v>0.25</v>
      </c>
      <c r="Q133" s="29">
        <f>+P133*$I$133</f>
        <v>27.3</v>
      </c>
      <c r="R133" s="34"/>
      <c r="S133" s="29">
        <f>+Q133*40*52</f>
        <v>56784</v>
      </c>
      <c r="T133" s="29">
        <f t="shared" ref="T133:T136" si="474">+S133*0.0833</f>
        <v>4730.1072000000004</v>
      </c>
      <c r="U133" s="29">
        <f t="shared" ref="U133:U136" si="475">+T133</f>
        <v>4730.1072000000004</v>
      </c>
      <c r="V133" s="29">
        <f t="shared" ref="V133:V136" si="476">+S133*0.01</f>
        <v>567.84</v>
      </c>
      <c r="W133" s="29">
        <f t="shared" ref="W133:W136" si="477">+S133*0.083</f>
        <v>4713.0720000000001</v>
      </c>
      <c r="X133" s="29">
        <f t="shared" ref="X133:X136" si="478">+S133*0.0018</f>
        <v>102.21119999999999</v>
      </c>
      <c r="Y133" s="29">
        <f t="shared" ref="Y133:Y136" si="479">0.71*52*P133</f>
        <v>9.23</v>
      </c>
      <c r="Z133" s="29">
        <f t="shared" ref="Z133:Z136" si="480">172*12*P133</f>
        <v>516</v>
      </c>
      <c r="AA133" s="29">
        <f t="shared" ref="AA133:AA136" si="481">+(S133+T133+U133)*0.01</f>
        <v>662.44214399999998</v>
      </c>
      <c r="AB133" s="29">
        <f t="shared" ref="AB133:AB136" si="482">SUM(S133:AA133)</f>
        <v>72815.009743999995</v>
      </c>
      <c r="AC133" s="3">
        <f t="shared" ref="AC133:AC136" si="483">IF(+J133&gt;0,J133,AC132)</f>
        <v>1</v>
      </c>
      <c r="AD133" s="29">
        <f t="shared" ref="AD133:AD136" si="484">+AB133/AC133</f>
        <v>72815.009743999995</v>
      </c>
    </row>
    <row r="134" spans="1:30" ht="15" customHeight="1" x14ac:dyDescent="0.25">
      <c r="A134" s="11"/>
      <c r="H134" s="6"/>
      <c r="L134" s="1" t="s">
        <v>394</v>
      </c>
      <c r="M134" s="3">
        <v>0.25</v>
      </c>
      <c r="O134" s="122" t="s">
        <v>445</v>
      </c>
      <c r="P134" s="40">
        <f t="shared" ref="P134:P136" si="485">+M134</f>
        <v>0.25</v>
      </c>
      <c r="Q134" s="29">
        <f>+P134*$I$133</f>
        <v>27.3</v>
      </c>
      <c r="R134" s="34"/>
      <c r="S134" s="29">
        <f>+Q134*40*52</f>
        <v>56784</v>
      </c>
      <c r="T134" s="29">
        <f t="shared" si="474"/>
        <v>4730.1072000000004</v>
      </c>
      <c r="U134" s="29">
        <f t="shared" si="475"/>
        <v>4730.1072000000004</v>
      </c>
      <c r="V134" s="29">
        <f t="shared" si="476"/>
        <v>567.84</v>
      </c>
      <c r="W134" s="29">
        <f t="shared" si="477"/>
        <v>4713.0720000000001</v>
      </c>
      <c r="X134" s="29">
        <f t="shared" si="478"/>
        <v>102.21119999999999</v>
      </c>
      <c r="Y134" s="29">
        <f t="shared" si="479"/>
        <v>9.23</v>
      </c>
      <c r="Z134" s="29">
        <f t="shared" si="480"/>
        <v>516</v>
      </c>
      <c r="AA134" s="29">
        <f t="shared" si="481"/>
        <v>662.44214399999998</v>
      </c>
      <c r="AB134" s="29">
        <f t="shared" si="482"/>
        <v>72815.009743999995</v>
      </c>
      <c r="AC134" s="3">
        <f t="shared" si="483"/>
        <v>1</v>
      </c>
      <c r="AD134" s="29">
        <f t="shared" si="484"/>
        <v>72815.009743999995</v>
      </c>
    </row>
    <row r="135" spans="1:30" ht="15" customHeight="1" x14ac:dyDescent="0.25">
      <c r="A135" s="11"/>
      <c r="H135" s="6"/>
      <c r="L135" s="7" t="s">
        <v>404</v>
      </c>
      <c r="M135" s="3">
        <v>0.25</v>
      </c>
      <c r="O135" t="s">
        <v>444</v>
      </c>
      <c r="P135" s="40">
        <f t="shared" si="485"/>
        <v>0.25</v>
      </c>
      <c r="Q135" s="29">
        <f>+P135*$I$133</f>
        <v>27.3</v>
      </c>
      <c r="R135" s="34"/>
      <c r="S135" s="29">
        <f>+Q135*40*52</f>
        <v>56784</v>
      </c>
      <c r="T135" s="29">
        <f t="shared" si="474"/>
        <v>4730.1072000000004</v>
      </c>
      <c r="U135" s="29">
        <f t="shared" si="475"/>
        <v>4730.1072000000004</v>
      </c>
      <c r="V135" s="29">
        <f t="shared" si="476"/>
        <v>567.84</v>
      </c>
      <c r="W135" s="29">
        <f t="shared" si="477"/>
        <v>4713.0720000000001</v>
      </c>
      <c r="X135" s="29">
        <f t="shared" si="478"/>
        <v>102.21119999999999</v>
      </c>
      <c r="Y135" s="29">
        <f t="shared" si="479"/>
        <v>9.23</v>
      </c>
      <c r="Z135" s="29">
        <f t="shared" si="480"/>
        <v>516</v>
      </c>
      <c r="AA135" s="29">
        <f t="shared" si="481"/>
        <v>662.44214399999998</v>
      </c>
      <c r="AB135" s="29">
        <f t="shared" si="482"/>
        <v>72815.009743999995</v>
      </c>
      <c r="AC135" s="3">
        <f t="shared" si="483"/>
        <v>1</v>
      </c>
      <c r="AD135" s="29">
        <f t="shared" si="484"/>
        <v>72815.009743999995</v>
      </c>
    </row>
    <row r="136" spans="1:30" ht="15" customHeight="1" x14ac:dyDescent="0.25">
      <c r="A136" s="11"/>
      <c r="H136" s="6"/>
      <c r="L136" s="1" t="s">
        <v>405</v>
      </c>
      <c r="M136" s="3">
        <v>0.25</v>
      </c>
      <c r="O136" t="s">
        <v>442</v>
      </c>
      <c r="P136" s="40">
        <f t="shared" si="485"/>
        <v>0.25</v>
      </c>
      <c r="Q136" s="29">
        <f>+P136*$I$133</f>
        <v>27.3</v>
      </c>
      <c r="R136" s="34"/>
      <c r="S136" s="29">
        <f>+Q136*40*52</f>
        <v>56784</v>
      </c>
      <c r="T136" s="29">
        <f t="shared" si="474"/>
        <v>4730.1072000000004</v>
      </c>
      <c r="U136" s="29">
        <f t="shared" si="475"/>
        <v>4730.1072000000004</v>
      </c>
      <c r="V136" s="29">
        <f t="shared" si="476"/>
        <v>567.84</v>
      </c>
      <c r="W136" s="29">
        <f t="shared" si="477"/>
        <v>4713.0720000000001</v>
      </c>
      <c r="X136" s="29">
        <f t="shared" si="478"/>
        <v>102.21119999999999</v>
      </c>
      <c r="Y136" s="29">
        <f t="shared" si="479"/>
        <v>9.23</v>
      </c>
      <c r="Z136" s="29">
        <f t="shared" si="480"/>
        <v>516</v>
      </c>
      <c r="AA136" s="29">
        <f t="shared" si="481"/>
        <v>662.44214399999998</v>
      </c>
      <c r="AB136" s="29">
        <f t="shared" si="482"/>
        <v>72815.009743999995</v>
      </c>
      <c r="AC136" s="3">
        <f t="shared" si="483"/>
        <v>1</v>
      </c>
      <c r="AD136" s="29">
        <f t="shared" si="484"/>
        <v>72815.009743999995</v>
      </c>
    </row>
    <row r="137" spans="1:30" ht="15" customHeight="1" thickBot="1" x14ac:dyDescent="0.3">
      <c r="A137" s="11"/>
      <c r="H137" s="6"/>
      <c r="L137" s="2"/>
      <c r="R137" s="34"/>
    </row>
    <row r="138" spans="1:30" ht="15" customHeight="1" thickBot="1" x14ac:dyDescent="0.3">
      <c r="H138" s="6"/>
      <c r="L138" s="7"/>
      <c r="O138" s="17"/>
      <c r="R138" s="34"/>
    </row>
    <row r="139" spans="1:30" ht="15" customHeight="1" thickBot="1" x14ac:dyDescent="0.3">
      <c r="A139" s="206" t="s">
        <v>946</v>
      </c>
      <c r="B139" t="s">
        <v>947</v>
      </c>
      <c r="C139" t="s">
        <v>108</v>
      </c>
      <c r="E139" t="s">
        <v>3</v>
      </c>
      <c r="F139" t="s">
        <v>4</v>
      </c>
      <c r="G139" t="s">
        <v>1082</v>
      </c>
      <c r="H139" s="6" t="s">
        <v>28</v>
      </c>
      <c r="I139">
        <v>72.849999999999994</v>
      </c>
      <c r="J139" s="3">
        <v>1</v>
      </c>
      <c r="K139" t="s">
        <v>447</v>
      </c>
      <c r="L139" s="7" t="s">
        <v>403</v>
      </c>
      <c r="M139" s="3">
        <v>0.25</v>
      </c>
      <c r="O139" s="17" t="s">
        <v>443</v>
      </c>
      <c r="P139" s="40">
        <f t="shared" ref="P139:P142" si="486">+M139</f>
        <v>0.25</v>
      </c>
      <c r="Q139" s="29">
        <f>+P139*$I$139</f>
        <v>18.212499999999999</v>
      </c>
      <c r="R139" s="34"/>
      <c r="S139" s="29">
        <f>+Q139*40*52</f>
        <v>37882</v>
      </c>
      <c r="T139" s="29">
        <f t="shared" ref="T139:T142" si="487">+S139*0.0833</f>
        <v>3155.5706</v>
      </c>
      <c r="U139" s="29">
        <f t="shared" ref="U139:U142" si="488">+T139</f>
        <v>3155.5706</v>
      </c>
      <c r="V139" s="29">
        <f t="shared" ref="V139:V142" si="489">+S139*0.01</f>
        <v>378.82</v>
      </c>
      <c r="W139" s="29">
        <f t="shared" ref="W139:W142" si="490">+S139*0.083</f>
        <v>3144.2060000000001</v>
      </c>
      <c r="X139" s="29">
        <f t="shared" ref="X139:X142" si="491">+S139*0.0018</f>
        <v>68.187600000000003</v>
      </c>
      <c r="Y139" s="29">
        <f t="shared" ref="Y139:Y142" si="492">0.71*52*P139</f>
        <v>9.23</v>
      </c>
      <c r="Z139" s="29">
        <f t="shared" ref="Z139:Z142" si="493">172*12*P139</f>
        <v>516</v>
      </c>
      <c r="AA139" s="29">
        <f t="shared" ref="AA139:AA142" si="494">+(S139+T139+U139)*0.01</f>
        <v>441.93141199999997</v>
      </c>
      <c r="AB139" s="29">
        <f t="shared" ref="AB139:AB142" si="495">SUM(S139:AA139)</f>
        <v>48751.516211999995</v>
      </c>
      <c r="AC139" s="3">
        <f t="shared" ref="AC139:AC142" si="496">IF(+J139&gt;0,J139,AC138)</f>
        <v>1</v>
      </c>
      <c r="AD139" s="29">
        <f t="shared" ref="AD139:AD142" si="497">+AB139/AC139</f>
        <v>48751.516211999995</v>
      </c>
    </row>
    <row r="140" spans="1:30" ht="15" customHeight="1" thickBot="1" x14ac:dyDescent="0.3">
      <c r="A140" s="11"/>
      <c r="H140" s="6"/>
      <c r="L140" s="7" t="s">
        <v>390</v>
      </c>
      <c r="M140" s="3">
        <v>0.25</v>
      </c>
      <c r="O140" s="18" t="s">
        <v>432</v>
      </c>
      <c r="P140" s="40">
        <f t="shared" si="486"/>
        <v>0.25</v>
      </c>
      <c r="Q140" s="29">
        <f>+P140*$I$139</f>
        <v>18.212499999999999</v>
      </c>
      <c r="R140" s="34"/>
      <c r="S140" s="29">
        <f>+Q140*40*52</f>
        <v>37882</v>
      </c>
      <c r="T140" s="29">
        <f t="shared" si="487"/>
        <v>3155.5706</v>
      </c>
      <c r="U140" s="29">
        <f t="shared" si="488"/>
        <v>3155.5706</v>
      </c>
      <c r="V140" s="29">
        <f t="shared" si="489"/>
        <v>378.82</v>
      </c>
      <c r="W140" s="29">
        <f t="shared" si="490"/>
        <v>3144.2060000000001</v>
      </c>
      <c r="X140" s="29">
        <f t="shared" si="491"/>
        <v>68.187600000000003</v>
      </c>
      <c r="Y140" s="29">
        <f t="shared" si="492"/>
        <v>9.23</v>
      </c>
      <c r="Z140" s="29">
        <f t="shared" si="493"/>
        <v>516</v>
      </c>
      <c r="AA140" s="29">
        <f t="shared" si="494"/>
        <v>441.93141199999997</v>
      </c>
      <c r="AB140" s="29">
        <f t="shared" si="495"/>
        <v>48751.516211999995</v>
      </c>
      <c r="AC140" s="3">
        <f t="shared" si="496"/>
        <v>1</v>
      </c>
      <c r="AD140" s="29">
        <f t="shared" si="497"/>
        <v>48751.516211999995</v>
      </c>
    </row>
    <row r="141" spans="1:30" ht="15" customHeight="1" x14ac:dyDescent="0.25">
      <c r="A141" s="11"/>
      <c r="H141" s="6"/>
      <c r="L141" s="7" t="s">
        <v>404</v>
      </c>
      <c r="M141" s="3">
        <v>0.25</v>
      </c>
      <c r="O141" s="139" t="s">
        <v>444</v>
      </c>
      <c r="P141" s="40">
        <f t="shared" si="486"/>
        <v>0.25</v>
      </c>
      <c r="Q141" s="29">
        <f>+P141*$I$139</f>
        <v>18.212499999999999</v>
      </c>
      <c r="R141" s="34"/>
      <c r="S141" s="29">
        <f>+Q141*40*52</f>
        <v>37882</v>
      </c>
      <c r="T141" s="29">
        <f t="shared" si="487"/>
        <v>3155.5706</v>
      </c>
      <c r="U141" s="29">
        <f t="shared" si="488"/>
        <v>3155.5706</v>
      </c>
      <c r="V141" s="29">
        <f t="shared" si="489"/>
        <v>378.82</v>
      </c>
      <c r="W141" s="29">
        <f t="shared" si="490"/>
        <v>3144.2060000000001</v>
      </c>
      <c r="X141" s="29">
        <f t="shared" si="491"/>
        <v>68.187600000000003</v>
      </c>
      <c r="Y141" s="29">
        <f t="shared" si="492"/>
        <v>9.23</v>
      </c>
      <c r="Z141" s="29">
        <f t="shared" si="493"/>
        <v>516</v>
      </c>
      <c r="AA141" s="29">
        <f t="shared" si="494"/>
        <v>441.93141199999997</v>
      </c>
      <c r="AB141" s="29">
        <f t="shared" si="495"/>
        <v>48751.516211999995</v>
      </c>
      <c r="AC141" s="3">
        <f t="shared" si="496"/>
        <v>1</v>
      </c>
      <c r="AD141" s="29">
        <f t="shared" si="497"/>
        <v>48751.516211999995</v>
      </c>
    </row>
    <row r="142" spans="1:30" ht="15" customHeight="1" thickBot="1" x14ac:dyDescent="0.3">
      <c r="A142" s="11"/>
      <c r="H142" s="6"/>
      <c r="L142" s="7" t="s">
        <v>826</v>
      </c>
      <c r="M142" s="3">
        <v>0.2</v>
      </c>
      <c r="O142" s="2" t="s">
        <v>825</v>
      </c>
      <c r="P142" s="40">
        <f t="shared" si="486"/>
        <v>0.2</v>
      </c>
      <c r="Q142" s="29">
        <f>+P142*$I$139</f>
        <v>14.57</v>
      </c>
      <c r="R142" s="34"/>
      <c r="S142" s="29">
        <f>+Q142*40*52</f>
        <v>30305.599999999999</v>
      </c>
      <c r="T142" s="29">
        <f t="shared" si="487"/>
        <v>2524.4564799999998</v>
      </c>
      <c r="U142" s="29">
        <f t="shared" si="488"/>
        <v>2524.4564799999998</v>
      </c>
      <c r="V142" s="29">
        <f t="shared" si="489"/>
        <v>303.05599999999998</v>
      </c>
      <c r="W142" s="29">
        <f t="shared" si="490"/>
        <v>2515.3647999999998</v>
      </c>
      <c r="X142" s="29">
        <f t="shared" si="491"/>
        <v>54.550079999999994</v>
      </c>
      <c r="Y142" s="29">
        <f t="shared" si="492"/>
        <v>7.3840000000000003</v>
      </c>
      <c r="Z142" s="29">
        <f t="shared" si="493"/>
        <v>412.8</v>
      </c>
      <c r="AA142" s="29">
        <f t="shared" si="494"/>
        <v>353.5451296</v>
      </c>
      <c r="AB142" s="29">
        <f t="shared" si="495"/>
        <v>39001.212969600005</v>
      </c>
      <c r="AC142" s="3">
        <f t="shared" si="496"/>
        <v>1</v>
      </c>
      <c r="AD142" s="29">
        <f t="shared" si="497"/>
        <v>39001.212969600005</v>
      </c>
    </row>
    <row r="143" spans="1:30" ht="15" customHeight="1" thickBot="1" x14ac:dyDescent="0.3">
      <c r="H143" s="6"/>
      <c r="L143" s="7"/>
      <c r="O143" s="17"/>
      <c r="R143" s="34"/>
    </row>
    <row r="144" spans="1:30" ht="15" customHeight="1" thickBot="1" x14ac:dyDescent="0.3">
      <c r="H144" s="6"/>
      <c r="L144" s="7"/>
      <c r="O144" s="17"/>
      <c r="R144" s="34"/>
    </row>
    <row r="145" spans="1:30" ht="15" customHeight="1" thickBot="1" x14ac:dyDescent="0.3">
      <c r="A145" s="206" t="s">
        <v>202</v>
      </c>
      <c r="B145" t="s">
        <v>203</v>
      </c>
      <c r="C145" t="s">
        <v>204</v>
      </c>
      <c r="E145" t="s">
        <v>3</v>
      </c>
      <c r="F145" t="s">
        <v>4</v>
      </c>
      <c r="G145" t="s">
        <v>1085</v>
      </c>
      <c r="H145" s="6" t="s">
        <v>28</v>
      </c>
      <c r="I145">
        <v>89.89</v>
      </c>
      <c r="J145" s="3">
        <v>0.75</v>
      </c>
      <c r="K145" t="s">
        <v>447</v>
      </c>
      <c r="L145" s="7" t="s">
        <v>389</v>
      </c>
      <c r="M145" s="3">
        <v>0.25</v>
      </c>
      <c r="O145" s="17" t="s">
        <v>431</v>
      </c>
      <c r="P145" s="40">
        <f t="shared" ref="P145:P148" si="498">+M145</f>
        <v>0.25</v>
      </c>
      <c r="Q145" s="29">
        <f>+P145*$I$145</f>
        <v>22.4725</v>
      </c>
      <c r="R145" s="34"/>
      <c r="S145" s="29">
        <f>+Q145*40*52</f>
        <v>46742.799999999996</v>
      </c>
      <c r="T145" s="29">
        <f t="shared" ref="T145:T148" si="499">+S145*0.0833</f>
        <v>3893.6752399999996</v>
      </c>
      <c r="U145" s="29">
        <f t="shared" ref="U145:U148" si="500">+T145</f>
        <v>3893.6752399999996</v>
      </c>
      <c r="V145" s="29">
        <f t="shared" ref="V145:V148" si="501">+S145*0.01</f>
        <v>467.42799999999994</v>
      </c>
      <c r="W145" s="29">
        <f t="shared" ref="W145:W148" si="502">+S145*0.083</f>
        <v>3879.6523999999999</v>
      </c>
      <c r="X145" s="29">
        <f t="shared" ref="X145:X148" si="503">+S145*0.0018</f>
        <v>84.137039999999985</v>
      </c>
      <c r="Y145" s="29">
        <f t="shared" ref="Y145:Y148" si="504">0.71*52*M145</f>
        <v>9.23</v>
      </c>
      <c r="Z145" s="29">
        <f t="shared" ref="Z145:Z148" si="505">172*12*M145</f>
        <v>516</v>
      </c>
      <c r="AA145" s="29">
        <f t="shared" ref="AA145:AA148" si="506">+(S145+T145+U145)*0.01</f>
        <v>545.30150479999986</v>
      </c>
      <c r="AB145" s="29">
        <f t="shared" ref="AB145:AB148" si="507">SUM(S145:AA145)</f>
        <v>60031.899424799994</v>
      </c>
      <c r="AC145" s="3">
        <f>+$J$145</f>
        <v>0.75</v>
      </c>
      <c r="AD145" s="29">
        <f t="shared" ref="AD145:AD148" si="508">+AB145/AC145</f>
        <v>80042.532566399997</v>
      </c>
    </row>
    <row r="146" spans="1:30" ht="15" customHeight="1" thickBot="1" x14ac:dyDescent="0.3">
      <c r="A146" s="11"/>
      <c r="H146" s="6"/>
      <c r="L146" s="7" t="s">
        <v>376</v>
      </c>
      <c r="M146" s="3">
        <v>0.25</v>
      </c>
      <c r="O146" s="18" t="s">
        <v>430</v>
      </c>
      <c r="P146" s="40">
        <f t="shared" ref="P146:P147" si="509">+M146</f>
        <v>0.25</v>
      </c>
      <c r="Q146" s="29">
        <f t="shared" ref="Q146:Q148" si="510">+P146*$I$145</f>
        <v>22.4725</v>
      </c>
      <c r="R146" s="34"/>
      <c r="S146" s="29">
        <f>+Q146*40*52</f>
        <v>46742.799999999996</v>
      </c>
      <c r="T146" s="29">
        <f t="shared" ref="T146:T147" si="511">+S146*0.0833</f>
        <v>3893.6752399999996</v>
      </c>
      <c r="U146" s="29">
        <f t="shared" ref="U146:U147" si="512">+T146</f>
        <v>3893.6752399999996</v>
      </c>
      <c r="V146" s="29">
        <f t="shared" ref="V146:V147" si="513">+S146*0.01</f>
        <v>467.42799999999994</v>
      </c>
      <c r="W146" s="29">
        <f t="shared" si="502"/>
        <v>3879.6523999999999</v>
      </c>
      <c r="X146" s="29">
        <f t="shared" ref="X146:X147" si="514">+S146*0.0018</f>
        <v>84.137039999999985</v>
      </c>
      <c r="Y146" s="29">
        <f t="shared" ref="Y146:Y147" si="515">0.71*52*M146</f>
        <v>9.23</v>
      </c>
      <c r="Z146" s="29">
        <f t="shared" ref="Z146:Z147" si="516">172*12*M146</f>
        <v>516</v>
      </c>
      <c r="AA146" s="29">
        <f t="shared" ref="AA146:AA147" si="517">+(S146+T146+U146)*0.01</f>
        <v>545.30150479999986</v>
      </c>
      <c r="AB146" s="29">
        <f t="shared" ref="AB146:AB147" si="518">SUM(S146:AA146)</f>
        <v>60031.899424799994</v>
      </c>
      <c r="AC146" s="3">
        <f t="shared" ref="AC146:AC148" si="519">+$J$145</f>
        <v>0.75</v>
      </c>
      <c r="AD146" s="29">
        <f t="shared" ref="AD146:AD147" si="520">+AB146/AC146</f>
        <v>80042.532566399997</v>
      </c>
    </row>
    <row r="147" spans="1:30" ht="15" customHeight="1" x14ac:dyDescent="0.25">
      <c r="A147" s="11"/>
      <c r="H147" s="6"/>
      <c r="L147" s="7" t="s">
        <v>372</v>
      </c>
      <c r="M147" s="3">
        <v>0.25</v>
      </c>
      <c r="O147" s="2" t="s">
        <v>460</v>
      </c>
      <c r="P147" s="40">
        <f t="shared" si="509"/>
        <v>0.25</v>
      </c>
      <c r="Q147" s="29">
        <f t="shared" si="510"/>
        <v>22.4725</v>
      </c>
      <c r="R147" s="34"/>
      <c r="S147" s="29">
        <f>+Q147*40*52</f>
        <v>46742.799999999996</v>
      </c>
      <c r="T147" s="29">
        <f t="shared" si="511"/>
        <v>3893.6752399999996</v>
      </c>
      <c r="U147" s="29">
        <f t="shared" si="512"/>
        <v>3893.6752399999996</v>
      </c>
      <c r="V147" s="29">
        <f t="shared" si="513"/>
        <v>467.42799999999994</v>
      </c>
      <c r="W147" s="29">
        <f t="shared" si="502"/>
        <v>3879.6523999999999</v>
      </c>
      <c r="X147" s="29">
        <f t="shared" si="514"/>
        <v>84.137039999999985</v>
      </c>
      <c r="Y147" s="29">
        <f t="shared" si="515"/>
        <v>9.23</v>
      </c>
      <c r="Z147" s="29">
        <f t="shared" si="516"/>
        <v>516</v>
      </c>
      <c r="AA147" s="29">
        <f t="shared" si="517"/>
        <v>545.30150479999986</v>
      </c>
      <c r="AB147" s="29">
        <f t="shared" si="518"/>
        <v>60031.899424799994</v>
      </c>
      <c r="AC147" s="3">
        <f t="shared" si="519"/>
        <v>0.75</v>
      </c>
      <c r="AD147" s="29">
        <f t="shared" si="520"/>
        <v>80042.532566399997</v>
      </c>
    </row>
    <row r="148" spans="1:30" ht="15" customHeight="1" x14ac:dyDescent="0.25">
      <c r="A148" s="11"/>
      <c r="H148" s="6"/>
      <c r="L148" s="7" t="s">
        <v>1417</v>
      </c>
      <c r="M148" s="3">
        <v>0.25</v>
      </c>
      <c r="O148" s="2" t="s">
        <v>436</v>
      </c>
      <c r="P148" s="40">
        <f t="shared" si="498"/>
        <v>0.25</v>
      </c>
      <c r="Q148" s="29">
        <f t="shared" si="510"/>
        <v>22.4725</v>
      </c>
      <c r="R148" s="34"/>
      <c r="S148" s="29">
        <f>+Q148*40*52</f>
        <v>46742.799999999996</v>
      </c>
      <c r="T148" s="29">
        <f t="shared" si="499"/>
        <v>3893.6752399999996</v>
      </c>
      <c r="U148" s="29">
        <f t="shared" si="500"/>
        <v>3893.6752399999996</v>
      </c>
      <c r="V148" s="29">
        <f t="shared" si="501"/>
        <v>467.42799999999994</v>
      </c>
      <c r="W148" s="29">
        <f t="shared" si="502"/>
        <v>3879.6523999999999</v>
      </c>
      <c r="X148" s="29">
        <f t="shared" si="503"/>
        <v>84.137039999999985</v>
      </c>
      <c r="Y148" s="29">
        <f t="shared" si="504"/>
        <v>9.23</v>
      </c>
      <c r="Z148" s="29">
        <f t="shared" si="505"/>
        <v>516</v>
      </c>
      <c r="AA148" s="29">
        <f t="shared" si="506"/>
        <v>545.30150479999986</v>
      </c>
      <c r="AB148" s="29">
        <f t="shared" si="507"/>
        <v>60031.899424799994</v>
      </c>
      <c r="AC148" s="3">
        <f t="shared" si="519"/>
        <v>0.75</v>
      </c>
      <c r="AD148" s="29">
        <f t="shared" si="508"/>
        <v>80042.532566399997</v>
      </c>
    </row>
    <row r="149" spans="1:30" ht="15" customHeight="1" x14ac:dyDescent="0.25">
      <c r="A149" s="11"/>
      <c r="H149" s="6"/>
      <c r="L149" s="7"/>
      <c r="O149" s="139"/>
      <c r="R149" s="34"/>
    </row>
    <row r="150" spans="1:30" ht="15" customHeight="1" x14ac:dyDescent="0.25">
      <c r="A150" s="206" t="s">
        <v>942</v>
      </c>
      <c r="B150" t="s">
        <v>943</v>
      </c>
      <c r="C150" t="s">
        <v>108</v>
      </c>
      <c r="F150" t="s">
        <v>4</v>
      </c>
      <c r="G150" t="s">
        <v>1086</v>
      </c>
      <c r="H150" s="6" t="s">
        <v>28</v>
      </c>
      <c r="I150">
        <v>92.77</v>
      </c>
      <c r="J150" s="3">
        <v>0.75</v>
      </c>
      <c r="K150" t="s">
        <v>447</v>
      </c>
      <c r="L150" s="7" t="s">
        <v>394</v>
      </c>
      <c r="M150" s="3">
        <v>0.25</v>
      </c>
      <c r="O150" s="4" t="s">
        <v>445</v>
      </c>
      <c r="P150" s="40">
        <f t="shared" ref="P150:P153" si="521">+M150</f>
        <v>0.25</v>
      </c>
      <c r="Q150" s="29">
        <f>+P150*$I$150</f>
        <v>23.192499999999999</v>
      </c>
      <c r="R150" s="34"/>
      <c r="S150" s="29">
        <f>+Q150*40*52</f>
        <v>48240.399999999994</v>
      </c>
      <c r="T150" s="29">
        <f t="shared" ref="T150:T153" si="522">+S150*0.0833</f>
        <v>4018.4253199999994</v>
      </c>
      <c r="U150" s="29">
        <f t="shared" ref="U150:U153" si="523">+T150</f>
        <v>4018.4253199999994</v>
      </c>
      <c r="V150" s="29">
        <f t="shared" ref="V150:V153" si="524">+S150*0.01</f>
        <v>482.40399999999994</v>
      </c>
      <c r="W150" s="29">
        <f t="shared" ref="W150:W153" si="525">+S150*0.083</f>
        <v>4003.9531999999999</v>
      </c>
      <c r="X150" s="29">
        <f t="shared" ref="X150:X153" si="526">+S150*0.0018</f>
        <v>86.832719999999981</v>
      </c>
      <c r="Y150" s="29">
        <f t="shared" ref="Y150:Y153" si="527">0.71*52*P150</f>
        <v>9.23</v>
      </c>
      <c r="Z150" s="29">
        <f t="shared" ref="Z150:Z153" si="528">172*12*P150</f>
        <v>516</v>
      </c>
      <c r="AA150" s="29">
        <f t="shared" ref="AA150:AA153" si="529">+(S150+T150+U150)*0.01</f>
        <v>562.7725064</v>
      </c>
      <c r="AB150" s="29">
        <f t="shared" ref="AB150:AB153" si="530">SUM(S150:AA150)</f>
        <v>61938.443066399996</v>
      </c>
      <c r="AC150" s="3">
        <f t="shared" ref="AC150" si="531">IF(+J150&gt;0,J150,AC149)</f>
        <v>0.75</v>
      </c>
      <c r="AD150" s="29">
        <f t="shared" ref="AD150:AD153" si="532">+AB150/AC150</f>
        <v>82584.590755199999</v>
      </c>
    </row>
    <row r="151" spans="1:30" ht="15" customHeight="1" x14ac:dyDescent="0.25">
      <c r="A151" s="11"/>
      <c r="H151" s="6"/>
      <c r="L151" s="2" t="s">
        <v>405</v>
      </c>
      <c r="M151" s="3">
        <v>0.25</v>
      </c>
      <c r="O151" t="s">
        <v>442</v>
      </c>
      <c r="P151" s="40">
        <f t="shared" ref="P151:P152" si="533">+M151</f>
        <v>0.25</v>
      </c>
      <c r="Q151" s="29">
        <f t="shared" ref="Q151:Q153" si="534">+P151*$I$150</f>
        <v>23.192499999999999</v>
      </c>
      <c r="R151" s="34"/>
      <c r="S151" s="29">
        <f>+Q151*40*52</f>
        <v>48240.399999999994</v>
      </c>
      <c r="T151" s="29">
        <f t="shared" ref="T151:T152" si="535">+S151*0.0833</f>
        <v>4018.4253199999994</v>
      </c>
      <c r="U151" s="29">
        <f t="shared" ref="U151:U152" si="536">+T151</f>
        <v>4018.4253199999994</v>
      </c>
      <c r="V151" s="29">
        <f t="shared" ref="V151:V152" si="537">+S151*0.01</f>
        <v>482.40399999999994</v>
      </c>
      <c r="W151" s="29">
        <f t="shared" si="525"/>
        <v>4003.9531999999999</v>
      </c>
      <c r="X151" s="29">
        <f t="shared" ref="X151:X152" si="538">+S151*0.0018</f>
        <v>86.832719999999981</v>
      </c>
      <c r="Y151" s="29">
        <f t="shared" ref="Y151:Y152" si="539">0.71*52*P151</f>
        <v>9.23</v>
      </c>
      <c r="Z151" s="29">
        <f t="shared" ref="Z151:Z152" si="540">172*12*P151</f>
        <v>516</v>
      </c>
      <c r="AA151" s="29">
        <f t="shared" ref="AA151:AA152" si="541">+(S151+T151+U151)*0.01</f>
        <v>562.7725064</v>
      </c>
      <c r="AB151" s="29">
        <f t="shared" ref="AB151:AB152" si="542">SUM(S151:AA151)</f>
        <v>61938.443066399996</v>
      </c>
      <c r="AC151" s="3">
        <f>+AC150</f>
        <v>0.75</v>
      </c>
      <c r="AD151" s="29">
        <f t="shared" ref="AD151:AD152" si="543">+AB151/AC151</f>
        <v>82584.590755199999</v>
      </c>
    </row>
    <row r="152" spans="1:30" ht="15" customHeight="1" x14ac:dyDescent="0.25">
      <c r="A152" s="11"/>
      <c r="H152" s="6"/>
      <c r="L152" s="2" t="s">
        <v>403</v>
      </c>
      <c r="M152" s="3">
        <v>0.25</v>
      </c>
      <c r="O152" t="s">
        <v>443</v>
      </c>
      <c r="P152" s="40">
        <f t="shared" si="533"/>
        <v>0.25</v>
      </c>
      <c r="Q152" s="29">
        <f t="shared" si="534"/>
        <v>23.192499999999999</v>
      </c>
      <c r="R152" s="34"/>
      <c r="S152" s="29">
        <f>+Q152*40*52</f>
        <v>48240.399999999994</v>
      </c>
      <c r="T152" s="29">
        <f t="shared" si="535"/>
        <v>4018.4253199999994</v>
      </c>
      <c r="U152" s="29">
        <f t="shared" si="536"/>
        <v>4018.4253199999994</v>
      </c>
      <c r="V152" s="29">
        <f t="shared" si="537"/>
        <v>482.40399999999994</v>
      </c>
      <c r="W152" s="29">
        <f t="shared" si="525"/>
        <v>4003.9531999999999</v>
      </c>
      <c r="X152" s="29">
        <f t="shared" si="538"/>
        <v>86.832719999999981</v>
      </c>
      <c r="Y152" s="29">
        <f t="shared" si="539"/>
        <v>9.23</v>
      </c>
      <c r="Z152" s="29">
        <f t="shared" si="540"/>
        <v>516</v>
      </c>
      <c r="AA152" s="29">
        <f t="shared" si="541"/>
        <v>562.7725064</v>
      </c>
      <c r="AB152" s="29">
        <f t="shared" si="542"/>
        <v>61938.443066399996</v>
      </c>
      <c r="AC152" s="3">
        <f>+AC151</f>
        <v>0.75</v>
      </c>
      <c r="AD152" s="29">
        <f t="shared" si="543"/>
        <v>82584.590755199999</v>
      </c>
    </row>
    <row r="153" spans="1:30" ht="15" customHeight="1" x14ac:dyDescent="0.25">
      <c r="A153" s="11"/>
      <c r="H153" s="6"/>
      <c r="L153" s="2" t="s">
        <v>404</v>
      </c>
      <c r="M153" s="3">
        <v>0.25</v>
      </c>
      <c r="O153" t="s">
        <v>444</v>
      </c>
      <c r="P153" s="40">
        <f t="shared" si="521"/>
        <v>0.25</v>
      </c>
      <c r="Q153" s="29">
        <f t="shared" si="534"/>
        <v>23.192499999999999</v>
      </c>
      <c r="R153" s="34"/>
      <c r="S153" s="29">
        <f>+Q153*40*52</f>
        <v>48240.399999999994</v>
      </c>
      <c r="T153" s="29">
        <f t="shared" si="522"/>
        <v>4018.4253199999994</v>
      </c>
      <c r="U153" s="29">
        <f t="shared" si="523"/>
        <v>4018.4253199999994</v>
      </c>
      <c r="V153" s="29">
        <f t="shared" si="524"/>
        <v>482.40399999999994</v>
      </c>
      <c r="W153" s="29">
        <f t="shared" si="525"/>
        <v>4003.9531999999999</v>
      </c>
      <c r="X153" s="29">
        <f t="shared" si="526"/>
        <v>86.832719999999981</v>
      </c>
      <c r="Y153" s="29">
        <f t="shared" si="527"/>
        <v>9.23</v>
      </c>
      <c r="Z153" s="29">
        <f t="shared" si="528"/>
        <v>516</v>
      </c>
      <c r="AA153" s="29">
        <f t="shared" si="529"/>
        <v>562.7725064</v>
      </c>
      <c r="AB153" s="29">
        <f t="shared" si="530"/>
        <v>61938.443066399996</v>
      </c>
      <c r="AC153" s="3">
        <f>IF(+J153&gt;0,J153,AC150)</f>
        <v>0.75</v>
      </c>
      <c r="AD153" s="29">
        <f t="shared" si="532"/>
        <v>82584.590755199999</v>
      </c>
    </row>
    <row r="154" spans="1:30" ht="15" customHeight="1" x14ac:dyDescent="0.25">
      <c r="A154" s="11"/>
      <c r="H154" s="6"/>
      <c r="L154" s="7"/>
      <c r="O154" s="139"/>
      <c r="R154" s="34"/>
    </row>
    <row r="155" spans="1:30" ht="15" customHeight="1" x14ac:dyDescent="0.25">
      <c r="A155" s="213" t="s">
        <v>1536</v>
      </c>
      <c r="B155" t="s">
        <v>1537</v>
      </c>
      <c r="C155" t="s">
        <v>108</v>
      </c>
      <c r="F155" t="s">
        <v>4</v>
      </c>
      <c r="G155" t="s">
        <v>1086</v>
      </c>
      <c r="H155" s="6" t="s">
        <v>28</v>
      </c>
      <c r="I155">
        <v>72.849999999999994</v>
      </c>
      <c r="J155" s="3">
        <v>1</v>
      </c>
      <c r="K155" t="s">
        <v>447</v>
      </c>
      <c r="L155" s="7" t="s">
        <v>394</v>
      </c>
      <c r="M155" s="3">
        <v>0.25</v>
      </c>
      <c r="O155" s="4" t="s">
        <v>445</v>
      </c>
      <c r="P155" s="40">
        <f t="shared" ref="P155:P158" si="544">+M155</f>
        <v>0.25</v>
      </c>
      <c r="Q155" s="29">
        <f>+P155*$I$150</f>
        <v>23.192499999999999</v>
      </c>
      <c r="R155" s="34"/>
      <c r="S155" s="29">
        <f>+Q155*40*52</f>
        <v>48240.399999999994</v>
      </c>
      <c r="T155" s="29">
        <f t="shared" ref="T155:T158" si="545">+S155*0.0833</f>
        <v>4018.4253199999994</v>
      </c>
      <c r="U155" s="29">
        <f t="shared" ref="U155:U158" si="546">+T155</f>
        <v>4018.4253199999994</v>
      </c>
      <c r="V155" s="29">
        <f t="shared" ref="V155:V158" si="547">+S155*0.01</f>
        <v>482.40399999999994</v>
      </c>
      <c r="W155" s="29">
        <f t="shared" ref="W155:W158" si="548">+S155*0.083</f>
        <v>4003.9531999999999</v>
      </c>
      <c r="X155" s="29">
        <f t="shared" ref="X155:X158" si="549">+S155*0.0018</f>
        <v>86.832719999999981</v>
      </c>
      <c r="Y155" s="29">
        <f t="shared" ref="Y155:Y158" si="550">0.71*52*P155</f>
        <v>9.23</v>
      </c>
      <c r="Z155" s="29">
        <f t="shared" ref="Z155:Z158" si="551">172*12*P155</f>
        <v>516</v>
      </c>
      <c r="AA155" s="29">
        <f t="shared" ref="AA155:AA158" si="552">+(S155+T155+U155)*0.01</f>
        <v>562.7725064</v>
      </c>
      <c r="AB155" s="29">
        <f t="shared" ref="AB155:AB158" si="553">SUM(S155:AA155)</f>
        <v>61938.443066399996</v>
      </c>
      <c r="AC155" s="3">
        <f t="shared" ref="AC155" si="554">IF(+J155&gt;0,J155,AC154)</f>
        <v>1</v>
      </c>
      <c r="AD155" s="29">
        <f t="shared" ref="AD155:AD158" si="555">+AB155/AC155</f>
        <v>61938.443066399996</v>
      </c>
    </row>
    <row r="156" spans="1:30" ht="15" customHeight="1" x14ac:dyDescent="0.25">
      <c r="A156" s="11"/>
      <c r="H156" s="6"/>
      <c r="L156" s="2" t="s">
        <v>405</v>
      </c>
      <c r="M156" s="3">
        <v>0.25</v>
      </c>
      <c r="O156" t="s">
        <v>442</v>
      </c>
      <c r="P156" s="40">
        <f t="shared" si="544"/>
        <v>0.25</v>
      </c>
      <c r="Q156" s="29">
        <f t="shared" ref="Q156:Q158" si="556">+P156*$I$150</f>
        <v>23.192499999999999</v>
      </c>
      <c r="R156" s="34"/>
      <c r="S156" s="29">
        <f>+Q156*40*52</f>
        <v>48240.399999999994</v>
      </c>
      <c r="T156" s="29">
        <f t="shared" si="545"/>
        <v>4018.4253199999994</v>
      </c>
      <c r="U156" s="29">
        <f t="shared" si="546"/>
        <v>4018.4253199999994</v>
      </c>
      <c r="V156" s="29">
        <f t="shared" si="547"/>
        <v>482.40399999999994</v>
      </c>
      <c r="W156" s="29">
        <f t="shared" si="548"/>
        <v>4003.9531999999999</v>
      </c>
      <c r="X156" s="29">
        <f t="shared" si="549"/>
        <v>86.832719999999981</v>
      </c>
      <c r="Y156" s="29">
        <f t="shared" si="550"/>
        <v>9.23</v>
      </c>
      <c r="Z156" s="29">
        <f t="shared" si="551"/>
        <v>516</v>
      </c>
      <c r="AA156" s="29">
        <f t="shared" si="552"/>
        <v>562.7725064</v>
      </c>
      <c r="AB156" s="29">
        <f t="shared" si="553"/>
        <v>61938.443066399996</v>
      </c>
      <c r="AC156" s="3">
        <f>+AC155</f>
        <v>1</v>
      </c>
      <c r="AD156" s="29">
        <f t="shared" si="555"/>
        <v>61938.443066399996</v>
      </c>
    </row>
    <row r="157" spans="1:30" ht="15" customHeight="1" x14ac:dyDescent="0.25">
      <c r="A157" s="11"/>
      <c r="H157" s="6"/>
      <c r="L157" s="2" t="s">
        <v>403</v>
      </c>
      <c r="M157" s="3">
        <v>0.25</v>
      </c>
      <c r="O157" t="s">
        <v>443</v>
      </c>
      <c r="P157" s="40">
        <f t="shared" si="544"/>
        <v>0.25</v>
      </c>
      <c r="Q157" s="29">
        <f t="shared" si="556"/>
        <v>23.192499999999999</v>
      </c>
      <c r="R157" s="34"/>
      <c r="S157" s="29">
        <f>+Q157*40*52</f>
        <v>48240.399999999994</v>
      </c>
      <c r="T157" s="29">
        <f t="shared" si="545"/>
        <v>4018.4253199999994</v>
      </c>
      <c r="U157" s="29">
        <f t="shared" si="546"/>
        <v>4018.4253199999994</v>
      </c>
      <c r="V157" s="29">
        <f t="shared" si="547"/>
        <v>482.40399999999994</v>
      </c>
      <c r="W157" s="29">
        <f t="shared" si="548"/>
        <v>4003.9531999999999</v>
      </c>
      <c r="X157" s="29">
        <f t="shared" si="549"/>
        <v>86.832719999999981</v>
      </c>
      <c r="Y157" s="29">
        <f t="shared" si="550"/>
        <v>9.23</v>
      </c>
      <c r="Z157" s="29">
        <f t="shared" si="551"/>
        <v>516</v>
      </c>
      <c r="AA157" s="29">
        <f t="shared" si="552"/>
        <v>562.7725064</v>
      </c>
      <c r="AB157" s="29">
        <f t="shared" si="553"/>
        <v>61938.443066399996</v>
      </c>
      <c r="AC157" s="3">
        <f>+AC156</f>
        <v>1</v>
      </c>
      <c r="AD157" s="29">
        <f t="shared" si="555"/>
        <v>61938.443066399996</v>
      </c>
    </row>
    <row r="158" spans="1:30" ht="15" customHeight="1" thickBot="1" x14ac:dyDescent="0.3">
      <c r="A158" s="11"/>
      <c r="H158" s="6"/>
      <c r="L158" s="2" t="s">
        <v>404</v>
      </c>
      <c r="M158" s="3">
        <v>0.25</v>
      </c>
      <c r="O158" t="s">
        <v>444</v>
      </c>
      <c r="P158" s="40">
        <f t="shared" si="544"/>
        <v>0.25</v>
      </c>
      <c r="Q158" s="29">
        <f t="shared" si="556"/>
        <v>23.192499999999999</v>
      </c>
      <c r="R158" s="34"/>
      <c r="S158" s="29">
        <f>+Q158*40*52</f>
        <v>48240.399999999994</v>
      </c>
      <c r="T158" s="29">
        <f t="shared" si="545"/>
        <v>4018.4253199999994</v>
      </c>
      <c r="U158" s="29">
        <f t="shared" si="546"/>
        <v>4018.4253199999994</v>
      </c>
      <c r="V158" s="29">
        <f t="shared" si="547"/>
        <v>482.40399999999994</v>
      </c>
      <c r="W158" s="29">
        <f t="shared" si="548"/>
        <v>4003.9531999999999</v>
      </c>
      <c r="X158" s="29">
        <f t="shared" si="549"/>
        <v>86.832719999999981</v>
      </c>
      <c r="Y158" s="29">
        <f t="shared" si="550"/>
        <v>9.23</v>
      </c>
      <c r="Z158" s="29">
        <f t="shared" si="551"/>
        <v>516</v>
      </c>
      <c r="AA158" s="29">
        <f t="shared" si="552"/>
        <v>562.7725064</v>
      </c>
      <c r="AB158" s="29">
        <f t="shared" si="553"/>
        <v>61938.443066399996</v>
      </c>
      <c r="AC158" s="3">
        <f>IF(+J158&gt;0,J158,AC155)</f>
        <v>1</v>
      </c>
      <c r="AD158" s="29">
        <f t="shared" si="555"/>
        <v>61938.443066399996</v>
      </c>
    </row>
    <row r="159" spans="1:30" ht="15" customHeight="1" thickBot="1" x14ac:dyDescent="0.3">
      <c r="A159" s="11"/>
      <c r="H159" s="6"/>
      <c r="L159" s="7"/>
      <c r="O159" s="17"/>
      <c r="R159" s="34"/>
    </row>
    <row r="160" spans="1:30" ht="15" customHeight="1" thickBot="1" x14ac:dyDescent="0.3">
      <c r="A160" s="11"/>
      <c r="L160" s="2"/>
      <c r="R160" s="34"/>
    </row>
    <row r="161" spans="1:30" ht="15" customHeight="1" thickBot="1" x14ac:dyDescent="0.3">
      <c r="A161" s="203" t="s">
        <v>402</v>
      </c>
      <c r="L161" s="7"/>
      <c r="O161" s="17"/>
      <c r="R161" s="34"/>
    </row>
    <row r="162" spans="1:30" ht="15" customHeight="1" thickBot="1" x14ac:dyDescent="0.3">
      <c r="A162" t="s">
        <v>1554</v>
      </c>
      <c r="B162" t="s">
        <v>1555</v>
      </c>
      <c r="G162" t="s">
        <v>139</v>
      </c>
      <c r="H162" s="6" t="s">
        <v>70</v>
      </c>
      <c r="I162">
        <v>69.66</v>
      </c>
      <c r="J162" s="3">
        <v>0.75</v>
      </c>
      <c r="K162" t="s">
        <v>447</v>
      </c>
      <c r="L162" s="2" t="s">
        <v>412</v>
      </c>
      <c r="M162" s="3">
        <v>1</v>
      </c>
      <c r="O162" s="18" t="s">
        <v>441</v>
      </c>
      <c r="P162" s="40">
        <f t="shared" ref="P162:P167" si="557">+M162</f>
        <v>1</v>
      </c>
      <c r="Q162" s="29">
        <f t="shared" ref="Q162:Q168" si="558">+P162*I162</f>
        <v>69.66</v>
      </c>
      <c r="R162" s="34"/>
      <c r="S162" s="29">
        <f t="shared" ref="S162:S168" si="559">+Q162*40*52</f>
        <v>144892.79999999999</v>
      </c>
      <c r="T162" s="29">
        <f t="shared" ref="T162:T167" si="560">+S162*0.0833</f>
        <v>12069.570239999999</v>
      </c>
      <c r="U162" s="29">
        <f t="shared" ref="U162:U167" si="561">+T162</f>
        <v>12069.570239999999</v>
      </c>
      <c r="V162" s="29">
        <f t="shared" ref="V162:V167" si="562">+S162*0.01</f>
        <v>1448.9279999999999</v>
      </c>
      <c r="W162" s="29">
        <f t="shared" ref="W162:W172" si="563">+S162*0.083</f>
        <v>12026.1024</v>
      </c>
      <c r="X162" s="29">
        <f t="shared" ref="X162:X167" si="564">+S162*0.0018</f>
        <v>260.80703999999997</v>
      </c>
      <c r="Y162" s="29">
        <f t="shared" ref="Y162:Y167" si="565">0.71*52*P162</f>
        <v>36.92</v>
      </c>
      <c r="Z162" s="29">
        <f t="shared" ref="Z162:Z167" si="566">172*12*P162</f>
        <v>2064</v>
      </c>
      <c r="AA162" s="29">
        <f t="shared" ref="AA162:AA167" si="567">+(S162+T162+U162)*0.01</f>
        <v>1690.3194048</v>
      </c>
      <c r="AB162" s="29">
        <f t="shared" ref="AB162:AB167" si="568">SUM(S162:AA162)</f>
        <v>186559.01732480002</v>
      </c>
      <c r="AC162" s="3">
        <f>IF(+J162&gt;0,J162,#REF!)</f>
        <v>0.75</v>
      </c>
      <c r="AD162" s="29">
        <f t="shared" ref="AD162:AD167" si="569">+AB162/AC162</f>
        <v>248745.35643306668</v>
      </c>
    </row>
    <row r="163" spans="1:30" ht="15" customHeight="1" x14ac:dyDescent="0.25">
      <c r="A163" s="205" t="s">
        <v>1404</v>
      </c>
      <c r="B163" t="s">
        <v>1106</v>
      </c>
      <c r="C163" t="s">
        <v>1397</v>
      </c>
      <c r="G163" t="s">
        <v>139</v>
      </c>
      <c r="H163" s="6" t="s">
        <v>70</v>
      </c>
      <c r="I163">
        <v>69.66</v>
      </c>
      <c r="J163" s="3">
        <v>0.75</v>
      </c>
      <c r="K163" t="s">
        <v>447</v>
      </c>
      <c r="L163" s="2" t="s">
        <v>412</v>
      </c>
      <c r="M163" s="3">
        <v>1</v>
      </c>
      <c r="O163" t="s">
        <v>440</v>
      </c>
      <c r="P163" s="40">
        <f t="shared" si="557"/>
        <v>1</v>
      </c>
      <c r="Q163" s="29">
        <f t="shared" si="558"/>
        <v>69.66</v>
      </c>
      <c r="R163" s="34"/>
      <c r="S163" s="29">
        <f t="shared" si="559"/>
        <v>144892.79999999999</v>
      </c>
      <c r="T163" s="29">
        <f t="shared" si="560"/>
        <v>12069.570239999999</v>
      </c>
      <c r="U163" s="29">
        <f t="shared" si="561"/>
        <v>12069.570239999999</v>
      </c>
      <c r="V163" s="29">
        <f t="shared" si="562"/>
        <v>1448.9279999999999</v>
      </c>
      <c r="W163" s="29">
        <f t="shared" si="563"/>
        <v>12026.1024</v>
      </c>
      <c r="X163" s="29">
        <f t="shared" si="564"/>
        <v>260.80703999999997</v>
      </c>
      <c r="Y163" s="29">
        <f t="shared" si="565"/>
        <v>36.92</v>
      </c>
      <c r="Z163" s="29">
        <f t="shared" si="566"/>
        <v>2064</v>
      </c>
      <c r="AA163" s="29">
        <f t="shared" si="567"/>
        <v>1690.3194048</v>
      </c>
      <c r="AB163" s="29">
        <f t="shared" si="568"/>
        <v>186559.01732480002</v>
      </c>
      <c r="AC163" s="3">
        <f>IF(+J163&gt;0,J163,#REF!)</f>
        <v>0.75</v>
      </c>
      <c r="AD163" s="29">
        <f t="shared" si="569"/>
        <v>248745.35643306668</v>
      </c>
    </row>
    <row r="164" spans="1:30" ht="15" customHeight="1" x14ac:dyDescent="0.25">
      <c r="A164" t="s">
        <v>263</v>
      </c>
      <c r="B164" t="s">
        <v>1479</v>
      </c>
      <c r="E164" t="s">
        <v>3</v>
      </c>
      <c r="F164" t="s">
        <v>4</v>
      </c>
      <c r="G164" t="s">
        <v>139</v>
      </c>
      <c r="H164" s="6" t="s">
        <v>70</v>
      </c>
      <c r="I164">
        <v>78.33</v>
      </c>
      <c r="J164" s="3">
        <v>0.75</v>
      </c>
      <c r="K164" t="s">
        <v>447</v>
      </c>
      <c r="L164" s="2" t="s">
        <v>402</v>
      </c>
      <c r="M164" s="3">
        <v>1</v>
      </c>
      <c r="O164" t="s">
        <v>440</v>
      </c>
      <c r="P164" s="40">
        <f t="shared" ref="P164" si="570">+M164</f>
        <v>1</v>
      </c>
      <c r="Q164" s="29">
        <f t="shared" ref="Q164" si="571">+P164*I164</f>
        <v>78.33</v>
      </c>
      <c r="R164" s="34"/>
      <c r="S164" s="29">
        <f t="shared" ref="S164" si="572">+Q164*40*52</f>
        <v>162926.39999999999</v>
      </c>
      <c r="T164" s="29">
        <f t="shared" ref="T164" si="573">+S164*0.0833</f>
        <v>13571.769119999999</v>
      </c>
      <c r="U164" s="29">
        <f t="shared" ref="U164" si="574">+T164</f>
        <v>13571.769119999999</v>
      </c>
      <c r="V164" s="29">
        <f t="shared" ref="V164" si="575">+S164*0.01</f>
        <v>1629.2639999999999</v>
      </c>
      <c r="W164" s="29">
        <f t="shared" si="563"/>
        <v>13522.8912</v>
      </c>
      <c r="X164" s="29">
        <f t="shared" ref="X164" si="576">+S164*0.0018</f>
        <v>293.26751999999999</v>
      </c>
      <c r="Y164" s="29">
        <f t="shared" ref="Y164" si="577">0.71*52*P164</f>
        <v>36.92</v>
      </c>
      <c r="Z164" s="29">
        <f t="shared" ref="Z164" si="578">172*12*P164</f>
        <v>2064</v>
      </c>
      <c r="AA164" s="29">
        <f t="shared" ref="AA164" si="579">+(S164+T164+U164)*0.01</f>
        <v>1900.6993824000001</v>
      </c>
      <c r="AB164" s="29">
        <f t="shared" ref="AB164" si="580">SUM(S164:AA164)</f>
        <v>209516.98034240003</v>
      </c>
      <c r="AC164" s="3">
        <f>IF(+J164&gt;0,J164,#REF!)</f>
        <v>0.75</v>
      </c>
      <c r="AD164" s="29">
        <f t="shared" ref="AD164" si="581">+AB164/AC164</f>
        <v>279355.97378986672</v>
      </c>
    </row>
    <row r="165" spans="1:30" ht="15" customHeight="1" x14ac:dyDescent="0.25">
      <c r="A165" s="206" t="s">
        <v>281</v>
      </c>
      <c r="B165" t="s">
        <v>282</v>
      </c>
      <c r="C165" t="s">
        <v>283</v>
      </c>
      <c r="E165" t="s">
        <v>3</v>
      </c>
      <c r="F165" t="s">
        <v>4</v>
      </c>
      <c r="G165" t="s">
        <v>139</v>
      </c>
      <c r="H165" s="6" t="s">
        <v>70</v>
      </c>
      <c r="I165">
        <v>72.849999999999994</v>
      </c>
      <c r="J165" s="3">
        <v>0.75</v>
      </c>
      <c r="K165" t="s">
        <v>447</v>
      </c>
      <c r="L165" s="2" t="s">
        <v>402</v>
      </c>
      <c r="M165" s="3">
        <v>1</v>
      </c>
      <c r="O165" t="s">
        <v>440</v>
      </c>
      <c r="P165" s="40">
        <f t="shared" si="557"/>
        <v>1</v>
      </c>
      <c r="Q165" s="29">
        <f t="shared" si="558"/>
        <v>72.849999999999994</v>
      </c>
      <c r="R165" s="34"/>
      <c r="S165" s="29">
        <f t="shared" si="559"/>
        <v>151528</v>
      </c>
      <c r="T165" s="29">
        <f t="shared" si="560"/>
        <v>12622.2824</v>
      </c>
      <c r="U165" s="29">
        <f t="shared" si="561"/>
        <v>12622.2824</v>
      </c>
      <c r="V165" s="29">
        <f t="shared" si="562"/>
        <v>1515.28</v>
      </c>
      <c r="W165" s="29">
        <f t="shared" si="563"/>
        <v>12576.824000000001</v>
      </c>
      <c r="X165" s="29">
        <f t="shared" si="564"/>
        <v>272.75040000000001</v>
      </c>
      <c r="Y165" s="29">
        <f t="shared" si="565"/>
        <v>36.92</v>
      </c>
      <c r="Z165" s="29">
        <f t="shared" si="566"/>
        <v>2064</v>
      </c>
      <c r="AA165" s="29">
        <f t="shared" si="567"/>
        <v>1767.7256479999999</v>
      </c>
      <c r="AB165" s="29">
        <f t="shared" si="568"/>
        <v>195006.06484799998</v>
      </c>
      <c r="AC165" s="3">
        <f>IF(+J165&gt;0,J165,#REF!)</f>
        <v>0.75</v>
      </c>
      <c r="AD165" s="29">
        <f t="shared" si="569"/>
        <v>260008.08646399996</v>
      </c>
    </row>
    <row r="166" spans="1:30" ht="15" customHeight="1" x14ac:dyDescent="0.25">
      <c r="A166" s="205" t="s">
        <v>1405</v>
      </c>
      <c r="B166" t="s">
        <v>1406</v>
      </c>
      <c r="C166" t="s">
        <v>1407</v>
      </c>
      <c r="G166" t="s">
        <v>139</v>
      </c>
      <c r="H166" s="6" t="s">
        <v>70</v>
      </c>
      <c r="I166">
        <v>69.66</v>
      </c>
      <c r="J166" s="3">
        <v>0.75</v>
      </c>
      <c r="K166" t="s">
        <v>447</v>
      </c>
      <c r="L166" s="7" t="s">
        <v>402</v>
      </c>
      <c r="M166" s="3">
        <v>1</v>
      </c>
      <c r="O166" t="s">
        <v>440</v>
      </c>
      <c r="P166" s="40">
        <f t="shared" si="557"/>
        <v>1</v>
      </c>
      <c r="Q166" s="29">
        <f t="shared" si="558"/>
        <v>69.66</v>
      </c>
      <c r="R166" s="34"/>
      <c r="S166" s="29">
        <f t="shared" si="559"/>
        <v>144892.79999999999</v>
      </c>
      <c r="T166" s="29">
        <f t="shared" si="560"/>
        <v>12069.570239999999</v>
      </c>
      <c r="U166" s="29">
        <f t="shared" si="561"/>
        <v>12069.570239999999</v>
      </c>
      <c r="V166" s="29">
        <f t="shared" si="562"/>
        <v>1448.9279999999999</v>
      </c>
      <c r="W166" s="29">
        <f t="shared" si="563"/>
        <v>12026.1024</v>
      </c>
      <c r="X166" s="29">
        <f t="shared" si="564"/>
        <v>260.80703999999997</v>
      </c>
      <c r="Y166" s="29">
        <f t="shared" si="565"/>
        <v>36.92</v>
      </c>
      <c r="Z166" s="29">
        <f t="shared" si="566"/>
        <v>2064</v>
      </c>
      <c r="AA166" s="29">
        <f t="shared" si="567"/>
        <v>1690.3194048</v>
      </c>
      <c r="AB166" s="29">
        <f t="shared" si="568"/>
        <v>186559.01732480002</v>
      </c>
      <c r="AC166" s="3">
        <f t="shared" ref="AC166" si="582">IF(+J166&gt;0,J166,AC165)</f>
        <v>0.75</v>
      </c>
      <c r="AD166" s="29">
        <f t="shared" si="569"/>
        <v>248745.35643306668</v>
      </c>
    </row>
    <row r="167" spans="1:30" ht="15" customHeight="1" thickBot="1" x14ac:dyDescent="0.3">
      <c r="A167" s="206" t="s">
        <v>354</v>
      </c>
      <c r="B167" t="s">
        <v>355</v>
      </c>
      <c r="C167" t="s">
        <v>356</v>
      </c>
      <c r="E167" t="s">
        <v>3</v>
      </c>
      <c r="F167" t="s">
        <v>4</v>
      </c>
      <c r="G167" t="s">
        <v>1087</v>
      </c>
      <c r="H167" s="6" t="s">
        <v>70</v>
      </c>
      <c r="I167">
        <v>81.61</v>
      </c>
      <c r="J167" s="3">
        <v>0.75</v>
      </c>
      <c r="K167" t="s">
        <v>447</v>
      </c>
      <c r="L167" s="2" t="s">
        <v>402</v>
      </c>
      <c r="M167" s="3">
        <v>1</v>
      </c>
      <c r="O167" t="s">
        <v>440</v>
      </c>
      <c r="P167" s="40">
        <f t="shared" si="557"/>
        <v>1</v>
      </c>
      <c r="Q167" s="29">
        <f t="shared" si="558"/>
        <v>81.61</v>
      </c>
      <c r="R167" s="34"/>
      <c r="S167" s="29">
        <f t="shared" si="559"/>
        <v>169748.80000000002</v>
      </c>
      <c r="T167" s="29">
        <f t="shared" si="560"/>
        <v>14140.075040000002</v>
      </c>
      <c r="U167" s="29">
        <f t="shared" si="561"/>
        <v>14140.075040000002</v>
      </c>
      <c r="V167" s="29">
        <f t="shared" si="562"/>
        <v>1697.4880000000003</v>
      </c>
      <c r="W167" s="29">
        <f t="shared" si="563"/>
        <v>14089.150400000002</v>
      </c>
      <c r="X167" s="29">
        <f t="shared" si="564"/>
        <v>305.54784000000001</v>
      </c>
      <c r="Y167" s="29">
        <f t="shared" si="565"/>
        <v>36.92</v>
      </c>
      <c r="Z167" s="29">
        <f t="shared" si="566"/>
        <v>2064</v>
      </c>
      <c r="AA167" s="29">
        <f t="shared" si="567"/>
        <v>1980.2895008</v>
      </c>
      <c r="AB167" s="29">
        <f t="shared" si="568"/>
        <v>218202.34582080005</v>
      </c>
      <c r="AC167" s="3">
        <f>IF(+J167&gt;0,J167,#REF!)</f>
        <v>0.75</v>
      </c>
      <c r="AD167" s="29">
        <f t="shared" si="569"/>
        <v>290936.46109440009</v>
      </c>
    </row>
    <row r="168" spans="1:30" ht="15" customHeight="1" thickBot="1" x14ac:dyDescent="0.3">
      <c r="A168" s="205" t="s">
        <v>1408</v>
      </c>
      <c r="B168" t="s">
        <v>1409</v>
      </c>
      <c r="C168" t="s">
        <v>1410</v>
      </c>
      <c r="E168" t="s">
        <v>3</v>
      </c>
      <c r="F168" t="s">
        <v>4</v>
      </c>
      <c r="G168" t="s">
        <v>1391</v>
      </c>
      <c r="H168" s="6" t="s">
        <v>70</v>
      </c>
      <c r="I168">
        <v>66.930000000000007</v>
      </c>
      <c r="J168" s="3">
        <v>1</v>
      </c>
      <c r="K168" t="s">
        <v>447</v>
      </c>
      <c r="L168" s="7" t="s">
        <v>400</v>
      </c>
      <c r="M168" s="3">
        <v>1</v>
      </c>
      <c r="O168" s="17" t="s">
        <v>438</v>
      </c>
      <c r="P168" s="40">
        <f t="shared" ref="P168" si="583">+M168</f>
        <v>1</v>
      </c>
      <c r="Q168" s="29">
        <f t="shared" si="558"/>
        <v>66.930000000000007</v>
      </c>
      <c r="R168" s="34"/>
      <c r="S168" s="29">
        <f t="shared" si="559"/>
        <v>139214.40000000002</v>
      </c>
      <c r="T168" s="29">
        <f t="shared" ref="T168:T170" si="584">+S168*0.0833</f>
        <v>11596.559520000003</v>
      </c>
      <c r="U168" s="29">
        <f t="shared" ref="U168:U170" si="585">+T168</f>
        <v>11596.559520000003</v>
      </c>
      <c r="V168" s="29">
        <f t="shared" ref="V168:V170" si="586">+S168*0.01</f>
        <v>1392.1440000000002</v>
      </c>
      <c r="W168" s="29">
        <f t="shared" si="563"/>
        <v>11554.795200000002</v>
      </c>
      <c r="X168" s="29">
        <f t="shared" ref="X168:X170" si="587">+S168*0.0018</f>
        <v>250.58592000000004</v>
      </c>
      <c r="Y168" s="29">
        <f t="shared" ref="Y168" si="588">0.71*52*P168</f>
        <v>36.92</v>
      </c>
      <c r="Z168" s="29">
        <f t="shared" ref="Z168" si="589">172*12*P168</f>
        <v>2064</v>
      </c>
      <c r="AA168" s="29">
        <f t="shared" ref="AA168:AA170" si="590">+(S168+T168+U168)*0.01</f>
        <v>1624.0751904000006</v>
      </c>
      <c r="AB168" s="29">
        <f t="shared" ref="AB168:AB170" si="591">SUM(S168:AA168)</f>
        <v>179330.03935040007</v>
      </c>
      <c r="AC168" s="3">
        <f>IF(+J168&gt;0,J168,#REF!)</f>
        <v>1</v>
      </c>
      <c r="AD168" s="29">
        <f t="shared" ref="AD168:AD170" si="592">+AB168/AC168</f>
        <v>179330.03935040007</v>
      </c>
    </row>
    <row r="169" spans="1:30" ht="15" customHeight="1" thickBot="1" x14ac:dyDescent="0.3">
      <c r="A169" s="214" t="s">
        <v>1411</v>
      </c>
      <c r="B169" t="s">
        <v>1412</v>
      </c>
      <c r="C169" t="s">
        <v>1413</v>
      </c>
      <c r="E169" t="s">
        <v>3</v>
      </c>
      <c r="F169" t="s">
        <v>4</v>
      </c>
      <c r="G169" t="s">
        <v>1391</v>
      </c>
      <c r="H169" s="6" t="s">
        <v>70</v>
      </c>
      <c r="I169">
        <v>66.930000000000007</v>
      </c>
      <c r="J169" s="3">
        <v>0.75</v>
      </c>
      <c r="K169" t="s">
        <v>447</v>
      </c>
      <c r="L169" s="7" t="s">
        <v>413</v>
      </c>
      <c r="M169" s="3">
        <v>1</v>
      </c>
      <c r="O169" s="18" t="s">
        <v>440</v>
      </c>
      <c r="P169" s="40">
        <f t="shared" ref="P169:P170" si="593">+M169</f>
        <v>1</v>
      </c>
      <c r="Q169" s="29">
        <f>+P169*$I$139</f>
        <v>72.849999999999994</v>
      </c>
      <c r="R169" s="34"/>
      <c r="S169" s="29">
        <f t="shared" ref="S169:S170" si="594">+Q169*40*52</f>
        <v>151528</v>
      </c>
      <c r="T169" s="29">
        <f t="shared" si="584"/>
        <v>12622.2824</v>
      </c>
      <c r="U169" s="29">
        <f t="shared" si="585"/>
        <v>12622.2824</v>
      </c>
      <c r="V169" s="29">
        <f t="shared" si="586"/>
        <v>1515.28</v>
      </c>
      <c r="W169" s="29">
        <f t="shared" si="563"/>
        <v>12576.824000000001</v>
      </c>
      <c r="X169" s="29">
        <f t="shared" si="587"/>
        <v>272.75040000000001</v>
      </c>
      <c r="Y169" s="29">
        <f t="shared" ref="Y169:Y170" si="595">0.71*52*P169</f>
        <v>36.92</v>
      </c>
      <c r="Z169" s="29">
        <f t="shared" ref="Z169:Z170" si="596">172*12*P169</f>
        <v>2064</v>
      </c>
      <c r="AA169" s="29">
        <f t="shared" si="590"/>
        <v>1767.7256479999999</v>
      </c>
      <c r="AB169" s="29">
        <f t="shared" si="591"/>
        <v>195006.06484799998</v>
      </c>
      <c r="AC169" s="3">
        <f>IF(+J169&gt;0,J169,#REF!)</f>
        <v>0.75</v>
      </c>
      <c r="AD169" s="29">
        <f t="shared" si="592"/>
        <v>260008.08646399996</v>
      </c>
    </row>
    <row r="170" spans="1:30" ht="15" customHeight="1" thickBot="1" x14ac:dyDescent="0.3">
      <c r="A170" s="214" t="s">
        <v>1414</v>
      </c>
      <c r="B170" t="s">
        <v>1415</v>
      </c>
      <c r="C170" t="s">
        <v>1416</v>
      </c>
      <c r="E170" t="s">
        <v>3</v>
      </c>
      <c r="F170" t="s">
        <v>4</v>
      </c>
      <c r="G170" t="s">
        <v>1391</v>
      </c>
      <c r="H170" s="6" t="s">
        <v>70</v>
      </c>
      <c r="I170">
        <v>69.66</v>
      </c>
      <c r="J170" s="3">
        <v>0.75</v>
      </c>
      <c r="K170" t="s">
        <v>447</v>
      </c>
      <c r="L170" s="7" t="s">
        <v>413</v>
      </c>
      <c r="M170" s="3">
        <v>1</v>
      </c>
      <c r="O170" s="18" t="s">
        <v>440</v>
      </c>
      <c r="P170" s="40">
        <f t="shared" si="593"/>
        <v>1</v>
      </c>
      <c r="Q170" s="29">
        <f t="shared" ref="Q170" si="597">+P170*$I$139</f>
        <v>72.849999999999994</v>
      </c>
      <c r="R170" s="34"/>
      <c r="S170" s="29">
        <f t="shared" si="594"/>
        <v>151528</v>
      </c>
      <c r="T170" s="29">
        <f t="shared" si="584"/>
        <v>12622.2824</v>
      </c>
      <c r="U170" s="29">
        <f t="shared" si="585"/>
        <v>12622.2824</v>
      </c>
      <c r="V170" s="29">
        <f t="shared" si="586"/>
        <v>1515.28</v>
      </c>
      <c r="W170" s="29">
        <f t="shared" si="563"/>
        <v>12576.824000000001</v>
      </c>
      <c r="X170" s="29">
        <f t="shared" si="587"/>
        <v>272.75040000000001</v>
      </c>
      <c r="Y170" s="29">
        <f t="shared" si="595"/>
        <v>36.92</v>
      </c>
      <c r="Z170" s="29">
        <f t="shared" si="596"/>
        <v>2064</v>
      </c>
      <c r="AA170" s="29">
        <f t="shared" si="590"/>
        <v>1767.7256479999999</v>
      </c>
      <c r="AB170" s="29">
        <f t="shared" si="591"/>
        <v>195006.06484799998</v>
      </c>
      <c r="AC170" s="3">
        <f>IF(+J170&gt;0,J170,#REF!)</f>
        <v>0.75</v>
      </c>
      <c r="AD170" s="29">
        <f t="shared" si="592"/>
        <v>260008.08646399996</v>
      </c>
    </row>
    <row r="171" spans="1:30" ht="15" customHeight="1" thickBot="1" x14ac:dyDescent="0.3">
      <c r="A171" s="213" t="s">
        <v>1545</v>
      </c>
      <c r="B171" t="s">
        <v>1546</v>
      </c>
      <c r="E171" t="s">
        <v>3</v>
      </c>
      <c r="F171" t="s">
        <v>4</v>
      </c>
      <c r="G171" t="s">
        <v>1391</v>
      </c>
      <c r="H171" s="6" t="s">
        <v>70</v>
      </c>
      <c r="I171">
        <v>69.66</v>
      </c>
      <c r="J171" s="3">
        <v>0.75</v>
      </c>
      <c r="K171" t="s">
        <v>447</v>
      </c>
      <c r="L171" s="7" t="s">
        <v>413</v>
      </c>
      <c r="M171" s="3">
        <v>1</v>
      </c>
      <c r="O171" s="18" t="s">
        <v>440</v>
      </c>
      <c r="P171" s="40">
        <f t="shared" ref="P171:P172" si="598">+M171</f>
        <v>1</v>
      </c>
      <c r="Q171" s="29">
        <f t="shared" ref="Q171:Q172" si="599">+P171*$I$139</f>
        <v>72.849999999999994</v>
      </c>
      <c r="R171" s="34"/>
      <c r="S171" s="29">
        <f t="shared" ref="S171:S172" si="600">+Q171*40*52</f>
        <v>151528</v>
      </c>
      <c r="T171" s="29">
        <f t="shared" ref="T171:T172" si="601">+S171*0.0833</f>
        <v>12622.2824</v>
      </c>
      <c r="U171" s="29">
        <f t="shared" ref="U171:U172" si="602">+T171</f>
        <v>12622.2824</v>
      </c>
      <c r="V171" s="29">
        <f t="shared" ref="V171:V172" si="603">+S171*0.01</f>
        <v>1515.28</v>
      </c>
      <c r="W171" s="29">
        <f t="shared" si="563"/>
        <v>12576.824000000001</v>
      </c>
      <c r="X171" s="29">
        <f t="shared" ref="X171:X172" si="604">+S171*0.0018</f>
        <v>272.75040000000001</v>
      </c>
      <c r="Y171" s="29">
        <f t="shared" ref="Y171:Y172" si="605">0.71*52*P171</f>
        <v>36.92</v>
      </c>
      <c r="Z171" s="29">
        <f t="shared" ref="Z171:Z172" si="606">172*12*P171</f>
        <v>2064</v>
      </c>
      <c r="AA171" s="29">
        <f t="shared" ref="AA171:AA172" si="607">+(S171+T171+U171)*0.01</f>
        <v>1767.7256479999999</v>
      </c>
      <c r="AB171" s="29">
        <f t="shared" ref="AB171:AB172" si="608">SUM(S171:AA171)</f>
        <v>195006.06484799998</v>
      </c>
      <c r="AC171" s="3">
        <f>IF(+J171&gt;0,J171,#REF!)</f>
        <v>0.75</v>
      </c>
      <c r="AD171" s="29">
        <f t="shared" ref="AD171:AD172" si="609">+AB171/AC171</f>
        <v>260008.08646399996</v>
      </c>
    </row>
    <row r="172" spans="1:30" ht="15" customHeight="1" thickBot="1" x14ac:dyDescent="0.3">
      <c r="A172" s="213" t="s">
        <v>1547</v>
      </c>
      <c r="B172" t="s">
        <v>1548</v>
      </c>
      <c r="E172" t="s">
        <v>3</v>
      </c>
      <c r="F172" t="s">
        <v>4</v>
      </c>
      <c r="G172" t="s">
        <v>1391</v>
      </c>
      <c r="H172" s="6" t="s">
        <v>70</v>
      </c>
      <c r="I172">
        <v>69.66</v>
      </c>
      <c r="J172" s="3">
        <v>0.75</v>
      </c>
      <c r="K172" t="s">
        <v>447</v>
      </c>
      <c r="L172" s="7" t="s">
        <v>413</v>
      </c>
      <c r="M172" s="3">
        <v>1</v>
      </c>
      <c r="O172" s="18" t="s">
        <v>441</v>
      </c>
      <c r="P172" s="40">
        <f t="shared" si="598"/>
        <v>1</v>
      </c>
      <c r="Q172" s="29">
        <f t="shared" si="599"/>
        <v>72.849999999999994</v>
      </c>
      <c r="R172" s="34"/>
      <c r="S172" s="29">
        <f t="shared" si="600"/>
        <v>151528</v>
      </c>
      <c r="T172" s="29">
        <f t="shared" si="601"/>
        <v>12622.2824</v>
      </c>
      <c r="U172" s="29">
        <f t="shared" si="602"/>
        <v>12622.2824</v>
      </c>
      <c r="V172" s="29">
        <f t="shared" si="603"/>
        <v>1515.28</v>
      </c>
      <c r="W172" s="29">
        <f t="shared" si="563"/>
        <v>12576.824000000001</v>
      </c>
      <c r="X172" s="29">
        <f t="shared" si="604"/>
        <v>272.75040000000001</v>
      </c>
      <c r="Y172" s="29">
        <f t="shared" si="605"/>
        <v>36.92</v>
      </c>
      <c r="Z172" s="29">
        <f t="shared" si="606"/>
        <v>2064</v>
      </c>
      <c r="AA172" s="29">
        <f t="shared" si="607"/>
        <v>1767.7256479999999</v>
      </c>
      <c r="AB172" s="29">
        <f t="shared" si="608"/>
        <v>195006.06484799998</v>
      </c>
      <c r="AC172" s="3">
        <f>IF(+J172&gt;0,J172,#REF!)</f>
        <v>0.75</v>
      </c>
      <c r="AD172" s="29">
        <f t="shared" si="609"/>
        <v>260008.08646399996</v>
      </c>
    </row>
    <row r="173" spans="1:30" ht="15" customHeight="1" thickBot="1" x14ac:dyDescent="0.3">
      <c r="A173" s="11"/>
      <c r="H173" s="6"/>
      <c r="L173" s="7"/>
      <c r="O173" s="18"/>
      <c r="R173" s="34"/>
    </row>
    <row r="174" spans="1:30" ht="15" customHeight="1" x14ac:dyDescent="0.25">
      <c r="A174" s="203" t="s">
        <v>231</v>
      </c>
      <c r="H174" s="6"/>
      <c r="L174" s="7"/>
      <c r="R174" s="34"/>
    </row>
    <row r="175" spans="1:30" ht="15" customHeight="1" thickBot="1" x14ac:dyDescent="0.3">
      <c r="A175" t="s">
        <v>1556</v>
      </c>
      <c r="B175" t="s">
        <v>1557</v>
      </c>
      <c r="C175" t="s">
        <v>1016</v>
      </c>
      <c r="E175" t="s">
        <v>68</v>
      </c>
      <c r="F175" t="s">
        <v>40</v>
      </c>
      <c r="G175" t="s">
        <v>1088</v>
      </c>
      <c r="H175" s="6">
        <v>0</v>
      </c>
      <c r="I175">
        <v>66.930000000000007</v>
      </c>
      <c r="J175" s="3">
        <v>1</v>
      </c>
      <c r="K175" t="s">
        <v>448</v>
      </c>
      <c r="L175" s="7" t="s">
        <v>231</v>
      </c>
      <c r="M175" s="3">
        <v>1</v>
      </c>
      <c r="O175" t="s">
        <v>615</v>
      </c>
      <c r="P175" s="40">
        <f t="shared" ref="P175:P177" si="610">+M175</f>
        <v>1</v>
      </c>
      <c r="Q175" s="29">
        <f>+P175*I175</f>
        <v>66.930000000000007</v>
      </c>
      <c r="R175" s="34"/>
      <c r="S175" s="29">
        <f>+Q175*40*52</f>
        <v>139214.40000000002</v>
      </c>
      <c r="T175" s="29">
        <f t="shared" ref="T175:T177" si="611">+S175*0.0833</f>
        <v>11596.559520000003</v>
      </c>
      <c r="U175" s="29">
        <f t="shared" ref="U175:U177" si="612">+T175</f>
        <v>11596.559520000003</v>
      </c>
      <c r="V175" s="29">
        <f t="shared" ref="V175:V177" si="613">+S175*0.01</f>
        <v>1392.1440000000002</v>
      </c>
      <c r="W175" s="29">
        <f t="shared" ref="W175:W177" si="614">+S175*0.083</f>
        <v>11554.795200000002</v>
      </c>
      <c r="X175" s="29">
        <f t="shared" ref="X175:X177" si="615">+S175*0.0018</f>
        <v>250.58592000000004</v>
      </c>
      <c r="Y175" s="29">
        <f t="shared" ref="Y175:Y177" si="616">0.71*52*P175</f>
        <v>36.92</v>
      </c>
      <c r="Z175" s="29">
        <f t="shared" ref="Z175:Z177" si="617">172*12*P175</f>
        <v>2064</v>
      </c>
      <c r="AA175" s="29">
        <f t="shared" ref="AA175:AA177" si="618">+(S175+T175+U175)*0.01</f>
        <v>1624.0751904000006</v>
      </c>
      <c r="AB175" s="29">
        <f t="shared" ref="AB175:AB177" si="619">SUM(S175:AA175)</f>
        <v>179330.03935040007</v>
      </c>
      <c r="AC175" s="3">
        <f t="shared" ref="AC175:AC177" si="620">IF(+J175&gt;0,J175,AC174)</f>
        <v>1</v>
      </c>
      <c r="AD175" s="29">
        <f t="shared" ref="AD175:AD177" si="621">+AB175/AC175</f>
        <v>179330.03935040007</v>
      </c>
    </row>
    <row r="176" spans="1:30" ht="15" customHeight="1" thickBot="1" x14ac:dyDescent="0.3">
      <c r="A176" t="s">
        <v>1015</v>
      </c>
      <c r="B176" t="s">
        <v>1507</v>
      </c>
      <c r="C176" t="s">
        <v>5</v>
      </c>
      <c r="G176" t="s">
        <v>846</v>
      </c>
      <c r="H176" s="6" t="s">
        <v>6</v>
      </c>
      <c r="I176">
        <v>66.930000000000007</v>
      </c>
      <c r="J176" s="3">
        <v>1</v>
      </c>
      <c r="K176" t="s">
        <v>448</v>
      </c>
      <c r="L176" s="7" t="s">
        <v>231</v>
      </c>
      <c r="M176" s="3">
        <v>1</v>
      </c>
      <c r="O176" s="17" t="s">
        <v>415</v>
      </c>
      <c r="P176" s="40">
        <f t="shared" si="610"/>
        <v>1</v>
      </c>
      <c r="Q176" s="29">
        <f>+P176*I176</f>
        <v>66.930000000000007</v>
      </c>
      <c r="R176" s="34"/>
      <c r="S176" s="29">
        <f>+Q176*40*52</f>
        <v>139214.40000000002</v>
      </c>
      <c r="T176" s="29">
        <f t="shared" si="611"/>
        <v>11596.559520000003</v>
      </c>
      <c r="U176" s="29">
        <f t="shared" si="612"/>
        <v>11596.559520000003</v>
      </c>
      <c r="V176" s="29">
        <f t="shared" si="613"/>
        <v>1392.1440000000002</v>
      </c>
      <c r="W176" s="29">
        <f t="shared" si="614"/>
        <v>11554.795200000002</v>
      </c>
      <c r="X176" s="29">
        <f t="shared" si="615"/>
        <v>250.58592000000004</v>
      </c>
      <c r="Y176" s="29">
        <f t="shared" si="616"/>
        <v>36.92</v>
      </c>
      <c r="Z176" s="29">
        <f t="shared" si="617"/>
        <v>2064</v>
      </c>
      <c r="AA176" s="29">
        <f t="shared" si="618"/>
        <v>1624.0751904000006</v>
      </c>
      <c r="AB176" s="29">
        <f t="shared" si="619"/>
        <v>179330.03935040007</v>
      </c>
      <c r="AC176" s="3">
        <f t="shared" si="620"/>
        <v>1</v>
      </c>
      <c r="AD176" s="29">
        <f t="shared" si="621"/>
        <v>179330.03935040007</v>
      </c>
    </row>
    <row r="177" spans="1:30" ht="15" customHeight="1" thickBot="1" x14ac:dyDescent="0.3">
      <c r="A177" t="s">
        <v>1558</v>
      </c>
      <c r="B177" t="s">
        <v>1454</v>
      </c>
      <c r="C177" t="s">
        <v>10</v>
      </c>
      <c r="G177" t="s">
        <v>10</v>
      </c>
      <c r="H177" s="6" t="s">
        <v>6</v>
      </c>
      <c r="I177">
        <v>72.849999999999994</v>
      </c>
      <c r="J177" s="3">
        <v>1</v>
      </c>
      <c r="K177" t="s">
        <v>448</v>
      </c>
      <c r="L177" s="7" t="s">
        <v>231</v>
      </c>
      <c r="M177" s="3">
        <v>1</v>
      </c>
      <c r="O177" s="17" t="s">
        <v>415</v>
      </c>
      <c r="P177" s="40">
        <f t="shared" si="610"/>
        <v>1</v>
      </c>
      <c r="Q177" s="29">
        <f>+P177*I177</f>
        <v>72.849999999999994</v>
      </c>
      <c r="R177" s="34"/>
      <c r="S177" s="29">
        <f>+Q177*40*52</f>
        <v>151528</v>
      </c>
      <c r="T177" s="29">
        <f t="shared" si="611"/>
        <v>12622.2824</v>
      </c>
      <c r="U177" s="29">
        <f t="shared" si="612"/>
        <v>12622.2824</v>
      </c>
      <c r="V177" s="29">
        <f t="shared" si="613"/>
        <v>1515.28</v>
      </c>
      <c r="W177" s="29">
        <f t="shared" si="614"/>
        <v>12576.824000000001</v>
      </c>
      <c r="X177" s="29">
        <f t="shared" si="615"/>
        <v>272.75040000000001</v>
      </c>
      <c r="Y177" s="29">
        <f t="shared" si="616"/>
        <v>36.92</v>
      </c>
      <c r="Z177" s="29">
        <f t="shared" si="617"/>
        <v>2064</v>
      </c>
      <c r="AA177" s="29">
        <f t="shared" si="618"/>
        <v>1767.7256479999999</v>
      </c>
      <c r="AB177" s="29">
        <f t="shared" si="619"/>
        <v>195006.06484799998</v>
      </c>
      <c r="AC177" s="3">
        <f t="shared" si="620"/>
        <v>1</v>
      </c>
      <c r="AD177" s="29">
        <f t="shared" si="621"/>
        <v>195006.06484799998</v>
      </c>
    </row>
    <row r="178" spans="1:30" ht="15" customHeight="1" thickBot="1" x14ac:dyDescent="0.3">
      <c r="L178" s="7"/>
      <c r="O178" s="18"/>
      <c r="R178" s="34"/>
    </row>
    <row r="179" spans="1:30" ht="15" customHeight="1" x14ac:dyDescent="0.25">
      <c r="A179" s="203" t="s">
        <v>182</v>
      </c>
      <c r="L179" s="7"/>
      <c r="O179" s="139"/>
      <c r="R179" s="34"/>
    </row>
    <row r="180" spans="1:30" ht="15" customHeight="1" x14ac:dyDescent="0.25">
      <c r="A180" s="205" t="s">
        <v>308</v>
      </c>
      <c r="B180" t="s">
        <v>309</v>
      </c>
      <c r="C180" t="s">
        <v>310</v>
      </c>
      <c r="D180" s="42"/>
      <c r="E180" s="14" t="s">
        <v>3</v>
      </c>
      <c r="F180" s="14" t="s">
        <v>4</v>
      </c>
      <c r="G180" t="s">
        <v>1089</v>
      </c>
      <c r="H180" s="6" t="s">
        <v>182</v>
      </c>
      <c r="I180">
        <v>81.61</v>
      </c>
      <c r="J180" s="3">
        <v>0.75</v>
      </c>
      <c r="K180" s="14" t="s">
        <v>446</v>
      </c>
      <c r="L180" s="1" t="s">
        <v>417</v>
      </c>
      <c r="M180" s="20">
        <v>0.75</v>
      </c>
      <c r="N180" s="14"/>
      <c r="O180" s="14" t="s">
        <v>409</v>
      </c>
      <c r="P180" s="40">
        <f t="shared" ref="P180:P181" si="622">+M180</f>
        <v>0.75</v>
      </c>
      <c r="Q180" s="29">
        <f>+P180*I180</f>
        <v>61.207499999999996</v>
      </c>
      <c r="R180" s="35"/>
      <c r="S180" s="29">
        <f>+Q180*40*52</f>
        <v>127311.59999999999</v>
      </c>
      <c r="T180" s="29">
        <f t="shared" ref="T180:T181" si="623">+S180*0.0833</f>
        <v>10605.056279999999</v>
      </c>
      <c r="U180" s="29">
        <f t="shared" ref="U180:U181" si="624">+T180</f>
        <v>10605.056279999999</v>
      </c>
      <c r="V180" s="29">
        <f t="shared" ref="V180:V181" si="625">+S180*0.01</f>
        <v>1273.116</v>
      </c>
      <c r="W180" s="29">
        <f t="shared" ref="W180:W181" si="626">+S180*0.083</f>
        <v>10566.862799999999</v>
      </c>
      <c r="X180" s="29">
        <f t="shared" ref="X180:X181" si="627">+S180*0.0018</f>
        <v>229.16087999999999</v>
      </c>
      <c r="Y180" s="29">
        <f t="shared" ref="Y180:Y181" si="628">0.71*52*P180</f>
        <v>27.69</v>
      </c>
      <c r="Z180" s="29">
        <f t="shared" ref="Z180:Z181" si="629">172*12*P180</f>
        <v>1548</v>
      </c>
      <c r="AA180" s="29">
        <f t="shared" ref="AA180:AA181" si="630">+(S180+T180+U180)*0.01</f>
        <v>1485.2171255999999</v>
      </c>
      <c r="AB180" s="29">
        <f t="shared" ref="AB180:AB181" si="631">SUM(S180:AA180)</f>
        <v>163651.75936560001</v>
      </c>
      <c r="AC180" s="3">
        <f t="shared" ref="AC180:AC181" si="632">IF(+J180&gt;0,J180,AC179)</f>
        <v>0.75</v>
      </c>
      <c r="AD180" s="29">
        <f t="shared" ref="AD180:AD181" si="633">+AB180/AC180</f>
        <v>218202.34582080002</v>
      </c>
    </row>
    <row r="181" spans="1:30" ht="15" customHeight="1" x14ac:dyDescent="0.25">
      <c r="A181" s="11"/>
      <c r="H181" s="6"/>
      <c r="L181" s="7" t="s">
        <v>419</v>
      </c>
      <c r="M181" s="3">
        <v>0.25</v>
      </c>
      <c r="O181" t="s">
        <v>418</v>
      </c>
      <c r="P181" s="40">
        <f t="shared" si="622"/>
        <v>0.25</v>
      </c>
      <c r="Q181" s="29">
        <f>+I180*P181</f>
        <v>20.4025</v>
      </c>
      <c r="R181" s="34"/>
      <c r="S181" s="29">
        <f>+Q181*40*52</f>
        <v>42437.200000000004</v>
      </c>
      <c r="T181" s="29">
        <f t="shared" si="623"/>
        <v>3535.0187600000004</v>
      </c>
      <c r="U181" s="29">
        <f t="shared" si="624"/>
        <v>3535.0187600000004</v>
      </c>
      <c r="V181" s="29">
        <f t="shared" si="625"/>
        <v>424.37200000000007</v>
      </c>
      <c r="W181" s="29">
        <f t="shared" si="626"/>
        <v>3522.2876000000006</v>
      </c>
      <c r="X181" s="29">
        <f t="shared" si="627"/>
        <v>76.386960000000002</v>
      </c>
      <c r="Y181" s="29">
        <f t="shared" si="628"/>
        <v>9.23</v>
      </c>
      <c r="Z181" s="29">
        <f t="shared" si="629"/>
        <v>516</v>
      </c>
      <c r="AA181" s="29">
        <f t="shared" si="630"/>
        <v>495.07237520000001</v>
      </c>
      <c r="AB181" s="29">
        <f t="shared" si="631"/>
        <v>54550.586455200013</v>
      </c>
      <c r="AC181" s="3">
        <f t="shared" si="632"/>
        <v>0.75</v>
      </c>
      <c r="AD181" s="29">
        <f t="shared" si="633"/>
        <v>72734.115273600022</v>
      </c>
    </row>
    <row r="182" spans="1:30" ht="15" customHeight="1" x14ac:dyDescent="0.25">
      <c r="C182" s="6"/>
      <c r="H182" s="6"/>
      <c r="L182" s="7"/>
    </row>
    <row r="183" spans="1:30" ht="15" customHeight="1" x14ac:dyDescent="0.25">
      <c r="A183" s="205" t="s">
        <v>171</v>
      </c>
      <c r="B183" t="s">
        <v>172</v>
      </c>
      <c r="C183" t="s">
        <v>173</v>
      </c>
      <c r="D183"/>
      <c r="E183" t="s">
        <v>3</v>
      </c>
      <c r="F183" t="s">
        <v>4</v>
      </c>
      <c r="G183" t="s">
        <v>311</v>
      </c>
      <c r="H183" t="s">
        <v>182</v>
      </c>
      <c r="I183">
        <v>78.33</v>
      </c>
      <c r="J183" s="3">
        <v>0.75</v>
      </c>
      <c r="K183" t="s">
        <v>447</v>
      </c>
      <c r="L183" s="1" t="s">
        <v>417</v>
      </c>
      <c r="M183" s="3">
        <v>0.25</v>
      </c>
      <c r="O183" t="s">
        <v>409</v>
      </c>
      <c r="P183" s="40">
        <f t="shared" ref="P183:P184" si="634">+M183</f>
        <v>0.25</v>
      </c>
      <c r="Q183" s="29">
        <f>+P183*I183</f>
        <v>19.5825</v>
      </c>
      <c r="S183" s="29">
        <f>+Q183*40*52</f>
        <v>40731.599999999999</v>
      </c>
      <c r="T183" s="29">
        <f t="shared" ref="T183:T184" si="635">+S183*0.0833</f>
        <v>3392.9422799999998</v>
      </c>
      <c r="U183" s="29">
        <f t="shared" ref="U183:U184" si="636">+T183</f>
        <v>3392.9422799999998</v>
      </c>
      <c r="V183" s="29">
        <f t="shared" ref="V183:V184" si="637">+S183*0.01</f>
        <v>407.31599999999997</v>
      </c>
      <c r="W183" s="29">
        <f t="shared" ref="W183:W184" si="638">+S183*0.083</f>
        <v>3380.7228</v>
      </c>
      <c r="X183" s="29">
        <f t="shared" ref="X183:X184" si="639">+S183*0.0018</f>
        <v>73.316879999999998</v>
      </c>
      <c r="Y183" s="29">
        <f>0.71*52*P183</f>
        <v>9.23</v>
      </c>
      <c r="Z183" s="29">
        <f>172*12*P183</f>
        <v>516</v>
      </c>
      <c r="AA183" s="29">
        <f t="shared" ref="AA183:AA184" si="640">+(S183+T183+U183)*0.01</f>
        <v>475.17484560000003</v>
      </c>
      <c r="AB183" s="29">
        <f t="shared" ref="AB183:AB184" si="641">SUM(S183:AA183)</f>
        <v>52379.245085600007</v>
      </c>
      <c r="AC183" s="3">
        <f t="shared" ref="AC183:AC184" si="642">IF(+J183&gt;0,J183,AC182)</f>
        <v>0.75</v>
      </c>
      <c r="AD183" s="29">
        <f t="shared" ref="AD183:AD184" si="643">+AB183/AC183</f>
        <v>69838.993447466681</v>
      </c>
    </row>
    <row r="184" spans="1:30" ht="15" customHeight="1" x14ac:dyDescent="0.25">
      <c r="L184" s="7" t="s">
        <v>419</v>
      </c>
      <c r="M184" s="3">
        <v>0.75</v>
      </c>
      <c r="O184" t="s">
        <v>418</v>
      </c>
      <c r="P184" s="40">
        <f t="shared" si="634"/>
        <v>0.75</v>
      </c>
      <c r="Q184" s="29">
        <f>+I183*P184</f>
        <v>58.747500000000002</v>
      </c>
      <c r="S184" s="29">
        <f>+Q184*40*52</f>
        <v>122194.8</v>
      </c>
      <c r="T184" s="29">
        <f t="shared" si="635"/>
        <v>10178.82684</v>
      </c>
      <c r="U184" s="29">
        <f t="shared" si="636"/>
        <v>10178.82684</v>
      </c>
      <c r="V184" s="29">
        <f t="shared" si="637"/>
        <v>1221.9480000000001</v>
      </c>
      <c r="W184" s="29">
        <f t="shared" si="638"/>
        <v>10142.1684</v>
      </c>
      <c r="X184" s="29">
        <f t="shared" si="639"/>
        <v>219.95063999999999</v>
      </c>
      <c r="Y184" s="29">
        <f>0.71*52*P184</f>
        <v>27.69</v>
      </c>
      <c r="Z184" s="29">
        <f>172*12*P184</f>
        <v>1548</v>
      </c>
      <c r="AA184" s="29">
        <f t="shared" si="640"/>
        <v>1425.5245368000001</v>
      </c>
      <c r="AB184" s="29">
        <f t="shared" si="641"/>
        <v>157137.73525679999</v>
      </c>
      <c r="AC184" s="3">
        <f t="shared" si="642"/>
        <v>0.75</v>
      </c>
      <c r="AD184" s="29">
        <f t="shared" si="643"/>
        <v>209516.9803424</v>
      </c>
    </row>
    <row r="185" spans="1:30" ht="15" customHeight="1" x14ac:dyDescent="0.25">
      <c r="L185" s="7"/>
    </row>
    <row r="186" spans="1:30" ht="15" customHeight="1" x14ac:dyDescent="0.25">
      <c r="L186" s="7"/>
    </row>
    <row r="187" spans="1:30" ht="15" customHeight="1" x14ac:dyDescent="0.25">
      <c r="L187" s="7"/>
    </row>
    <row r="188" spans="1:30" ht="15" customHeight="1" x14ac:dyDescent="0.3">
      <c r="A188" s="16"/>
      <c r="L188" s="7"/>
    </row>
    <row r="189" spans="1:30" ht="15" customHeight="1" x14ac:dyDescent="0.25">
      <c r="A189" s="127" t="s">
        <v>398</v>
      </c>
      <c r="L189" s="2"/>
    </row>
    <row r="190" spans="1:30" ht="15" customHeight="1" thickBot="1" x14ac:dyDescent="0.3">
      <c r="A190" s="205" t="s">
        <v>260</v>
      </c>
      <c r="B190" t="s">
        <v>261</v>
      </c>
      <c r="C190" t="s">
        <v>262</v>
      </c>
      <c r="E190" t="s">
        <v>3</v>
      </c>
      <c r="F190" t="s">
        <v>4</v>
      </c>
      <c r="G190" t="s">
        <v>15</v>
      </c>
      <c r="H190" t="s">
        <v>16</v>
      </c>
      <c r="I190">
        <v>89.52</v>
      </c>
      <c r="J190" s="3">
        <v>0.5</v>
      </c>
      <c r="K190" t="s">
        <v>447</v>
      </c>
      <c r="L190" s="2" t="s">
        <v>398</v>
      </c>
      <c r="M190" s="3">
        <v>0.5</v>
      </c>
      <c r="O190" t="s">
        <v>416</v>
      </c>
      <c r="P190" s="40">
        <f>+M190</f>
        <v>0.5</v>
      </c>
      <c r="Q190" s="29">
        <f>+P190*$I$190</f>
        <v>44.76</v>
      </c>
      <c r="S190" s="29">
        <f>+Q190*40*52</f>
        <v>93100.799999999988</v>
      </c>
      <c r="T190" s="29">
        <f t="shared" ref="T190" si="644">+S190*0.0833</f>
        <v>7755.2966399999987</v>
      </c>
      <c r="U190" s="29">
        <f t="shared" ref="U190" si="645">+T190</f>
        <v>7755.2966399999987</v>
      </c>
      <c r="V190" s="29">
        <f t="shared" ref="V190" si="646">+S190*0.01</f>
        <v>931.00799999999992</v>
      </c>
      <c r="W190" s="29">
        <f t="shared" ref="W190:W191" si="647">+S190*0.083</f>
        <v>7727.3663999999999</v>
      </c>
      <c r="X190" s="29">
        <f t="shared" ref="X190" si="648">+S190*0.0018</f>
        <v>167.58143999999999</v>
      </c>
      <c r="Y190" s="29">
        <f t="shared" ref="Y190" si="649">0.71*52*M190</f>
        <v>18.46</v>
      </c>
      <c r="Z190" s="29">
        <f t="shared" ref="Z190" si="650">172*12*M190</f>
        <v>1032</v>
      </c>
      <c r="AA190" s="29">
        <f t="shared" ref="AA190" si="651">+(S190+T190+U190)*0.01</f>
        <v>1086.1139327999999</v>
      </c>
      <c r="AB190" s="29">
        <f t="shared" ref="AB190" si="652">SUM(S190:AA190)</f>
        <v>119573.92305279999</v>
      </c>
      <c r="AC190" s="3">
        <f t="shared" ref="AC190" si="653">IF(+J190&gt;0,J190,AC189)</f>
        <v>0.5</v>
      </c>
      <c r="AD190" s="29">
        <f t="shared" ref="AD190" si="654">+AB190/AC190</f>
        <v>239147.84610559998</v>
      </c>
    </row>
    <row r="191" spans="1:30" ht="15" customHeight="1" thickBot="1" x14ac:dyDescent="0.3">
      <c r="K191" t="s">
        <v>447</v>
      </c>
      <c r="L191" s="7" t="s">
        <v>389</v>
      </c>
      <c r="M191" s="3">
        <v>0.5</v>
      </c>
      <c r="O191" s="17" t="s">
        <v>431</v>
      </c>
      <c r="P191" s="40">
        <f>+M191</f>
        <v>0.5</v>
      </c>
      <c r="Q191" s="29">
        <f>+P191*$I$190</f>
        <v>44.76</v>
      </c>
      <c r="S191" s="29">
        <f>+Q191*40*52</f>
        <v>93100.799999999988</v>
      </c>
      <c r="T191" s="29">
        <f t="shared" ref="T191" si="655">+S191*0.0833</f>
        <v>7755.2966399999987</v>
      </c>
      <c r="U191" s="29">
        <f t="shared" ref="U191" si="656">+T191</f>
        <v>7755.2966399999987</v>
      </c>
      <c r="V191" s="29">
        <f t="shared" ref="V191" si="657">+S191*0.01</f>
        <v>931.00799999999992</v>
      </c>
      <c r="W191" s="29">
        <f t="shared" si="647"/>
        <v>7727.3663999999999</v>
      </c>
      <c r="X191" s="29">
        <f t="shared" ref="X191" si="658">+S191*0.0018</f>
        <v>167.58143999999999</v>
      </c>
      <c r="Y191" s="29">
        <f t="shared" ref="Y191" si="659">0.71*52*M191</f>
        <v>18.46</v>
      </c>
      <c r="Z191" s="29">
        <f t="shared" ref="Z191" si="660">172*12*M191</f>
        <v>1032</v>
      </c>
      <c r="AA191" s="29">
        <f t="shared" ref="AA191" si="661">+(S191+T191+U191)*0.01</f>
        <v>1086.1139327999999</v>
      </c>
      <c r="AB191" s="29">
        <f t="shared" ref="AB191" si="662">SUM(S191:AA191)</f>
        <v>119573.92305279999</v>
      </c>
      <c r="AC191" s="3">
        <f t="shared" ref="AC191" si="663">IF(+J191&gt;0,J191,AC190)</f>
        <v>0.5</v>
      </c>
      <c r="AD191" s="29">
        <f t="shared" ref="AD191" si="664">+AB191/AC191</f>
        <v>239147.84610559998</v>
      </c>
    </row>
    <row r="192" spans="1:30" ht="15" customHeight="1" x14ac:dyDescent="0.25">
      <c r="A192" s="127" t="s">
        <v>1033</v>
      </c>
      <c r="L192" s="7"/>
    </row>
    <row r="193" spans="1:30" ht="15" customHeight="1" x14ac:dyDescent="0.25">
      <c r="A193" s="205" t="s">
        <v>0</v>
      </c>
      <c r="B193" t="s">
        <v>1</v>
      </c>
      <c r="C193" t="s">
        <v>2</v>
      </c>
      <c r="G193" t="s">
        <v>1062</v>
      </c>
      <c r="H193" t="s">
        <v>6</v>
      </c>
      <c r="I193">
        <v>78.33</v>
      </c>
      <c r="J193" s="3">
        <v>1</v>
      </c>
      <c r="K193" t="s">
        <v>447</v>
      </c>
      <c r="L193" s="7" t="s">
        <v>1033</v>
      </c>
      <c r="M193" s="3">
        <v>0.25</v>
      </c>
      <c r="O193" t="s">
        <v>1032</v>
      </c>
      <c r="P193" s="40">
        <f>+M193</f>
        <v>0.25</v>
      </c>
      <c r="Q193" s="29">
        <f>+P193*$I$193</f>
        <v>19.5825</v>
      </c>
      <c r="S193" s="29">
        <f>+Q193*40*52</f>
        <v>40731.599999999999</v>
      </c>
      <c r="T193" s="29">
        <f t="shared" ref="T193" si="665">+S193*0.0833</f>
        <v>3392.9422799999998</v>
      </c>
      <c r="U193" s="29">
        <f t="shared" ref="U193" si="666">+T193</f>
        <v>3392.9422799999998</v>
      </c>
      <c r="V193" s="29">
        <f t="shared" ref="V193" si="667">+S193*0.01</f>
        <v>407.31599999999997</v>
      </c>
      <c r="W193" s="29">
        <f t="shared" ref="W193:W196" si="668">+S193*0.083</f>
        <v>3380.7228</v>
      </c>
      <c r="X193" s="29">
        <f t="shared" ref="X193" si="669">+S193*0.0018</f>
        <v>73.316879999999998</v>
      </c>
      <c r="Y193" s="29">
        <f t="shared" ref="Y193" si="670">0.71*52*M193</f>
        <v>9.23</v>
      </c>
      <c r="Z193" s="29">
        <f t="shared" ref="Z193" si="671">172*12*M193</f>
        <v>516</v>
      </c>
      <c r="AA193" s="29">
        <f t="shared" ref="AA193" si="672">+(S193+T193+U193)*0.01</f>
        <v>475.17484560000003</v>
      </c>
      <c r="AB193" s="29">
        <f t="shared" ref="AB193" si="673">SUM(S193:AA193)</f>
        <v>52379.245085600007</v>
      </c>
      <c r="AC193" s="3">
        <f>+$J$193</f>
        <v>1</v>
      </c>
      <c r="AD193" s="29">
        <f t="shared" ref="AD193" si="674">+AB193/AC193</f>
        <v>52379.245085600007</v>
      </c>
    </row>
    <row r="194" spans="1:30" ht="15" customHeight="1" x14ac:dyDescent="0.25">
      <c r="L194" s="7"/>
      <c r="M194" s="3">
        <v>0.25</v>
      </c>
      <c r="O194" t="s">
        <v>1036</v>
      </c>
      <c r="P194" s="40">
        <f t="shared" ref="P194:P196" si="675">+M194</f>
        <v>0.25</v>
      </c>
      <c r="Q194" s="29">
        <f>+P194*$I$193</f>
        <v>19.5825</v>
      </c>
      <c r="S194" s="29">
        <f>+Q194*40*52</f>
        <v>40731.599999999999</v>
      </c>
      <c r="T194" s="29">
        <f t="shared" ref="T194:T195" si="676">+S194*0.0833</f>
        <v>3392.9422799999998</v>
      </c>
      <c r="U194" s="29">
        <f t="shared" ref="U194:U195" si="677">+T194</f>
        <v>3392.9422799999998</v>
      </c>
      <c r="V194" s="29">
        <f t="shared" ref="V194:V195" si="678">+S194*0.01</f>
        <v>407.31599999999997</v>
      </c>
      <c r="W194" s="29">
        <f t="shared" si="668"/>
        <v>3380.7228</v>
      </c>
      <c r="X194" s="29">
        <f t="shared" ref="X194:X195" si="679">+S194*0.0018</f>
        <v>73.316879999999998</v>
      </c>
      <c r="Y194" s="29">
        <f t="shared" ref="Y194:Y195" si="680">0.71*52*M194</f>
        <v>9.23</v>
      </c>
      <c r="Z194" s="29">
        <f t="shared" ref="Z194:Z195" si="681">172*12*M194</f>
        <v>516</v>
      </c>
      <c r="AA194" s="29">
        <f t="shared" ref="AA194:AA195" si="682">+(S194+T194+U194)*0.01</f>
        <v>475.17484560000003</v>
      </c>
      <c r="AB194" s="29">
        <f t="shared" ref="AB194:AB195" si="683">SUM(S194:AA194)</f>
        <v>52379.245085600007</v>
      </c>
      <c r="AC194" s="3">
        <f t="shared" ref="AC194:AC201" si="684">+$J$193</f>
        <v>1</v>
      </c>
      <c r="AD194" s="29">
        <f t="shared" ref="AD194:AD198" si="685">+AB194/AC194</f>
        <v>52379.245085600007</v>
      </c>
    </row>
    <row r="195" spans="1:30" ht="15" customHeight="1" x14ac:dyDescent="0.25">
      <c r="L195" s="7"/>
      <c r="M195" s="3">
        <v>0.25</v>
      </c>
      <c r="O195" t="s">
        <v>1037</v>
      </c>
      <c r="P195" s="40">
        <f t="shared" si="675"/>
        <v>0.25</v>
      </c>
      <c r="Q195" s="29">
        <f>+P195*$I$193</f>
        <v>19.5825</v>
      </c>
      <c r="S195" s="29">
        <f>+Q195*40*52</f>
        <v>40731.599999999999</v>
      </c>
      <c r="T195" s="29">
        <f t="shared" si="676"/>
        <v>3392.9422799999998</v>
      </c>
      <c r="U195" s="29">
        <f t="shared" si="677"/>
        <v>3392.9422799999998</v>
      </c>
      <c r="V195" s="29">
        <f t="shared" si="678"/>
        <v>407.31599999999997</v>
      </c>
      <c r="W195" s="29">
        <f t="shared" si="668"/>
        <v>3380.7228</v>
      </c>
      <c r="X195" s="29">
        <f t="shared" si="679"/>
        <v>73.316879999999998</v>
      </c>
      <c r="Y195" s="29">
        <f t="shared" si="680"/>
        <v>9.23</v>
      </c>
      <c r="Z195" s="29">
        <f t="shared" si="681"/>
        <v>516</v>
      </c>
      <c r="AA195" s="29">
        <f t="shared" si="682"/>
        <v>475.17484560000003</v>
      </c>
      <c r="AB195" s="29">
        <f t="shared" si="683"/>
        <v>52379.245085600007</v>
      </c>
      <c r="AC195" s="3">
        <f t="shared" si="684"/>
        <v>1</v>
      </c>
      <c r="AD195" s="29">
        <f t="shared" si="685"/>
        <v>52379.245085600007</v>
      </c>
    </row>
    <row r="196" spans="1:30" ht="15" customHeight="1" x14ac:dyDescent="0.25">
      <c r="L196" s="7"/>
      <c r="M196" s="3">
        <v>0.25</v>
      </c>
      <c r="O196" t="s">
        <v>1064</v>
      </c>
      <c r="P196" s="40">
        <f t="shared" si="675"/>
        <v>0.25</v>
      </c>
      <c r="Q196" s="29">
        <f>+P196*$I$193</f>
        <v>19.5825</v>
      </c>
      <c r="S196" s="29">
        <f>+Q196*40*52</f>
        <v>40731.599999999999</v>
      </c>
      <c r="T196" s="29">
        <f t="shared" ref="T196:T200" si="686">+S196*0.0833</f>
        <v>3392.9422799999998</v>
      </c>
      <c r="U196" s="29">
        <f t="shared" ref="U196:U200" si="687">+T196</f>
        <v>3392.9422799999998</v>
      </c>
      <c r="V196" s="29">
        <f t="shared" ref="V196:V200" si="688">+S196*0.01</f>
        <v>407.31599999999997</v>
      </c>
      <c r="W196" s="29">
        <f t="shared" si="668"/>
        <v>3380.7228</v>
      </c>
      <c r="X196" s="29">
        <f t="shared" ref="X196:X200" si="689">+S196*0.0018</f>
        <v>73.316879999999998</v>
      </c>
      <c r="Y196" s="29">
        <f t="shared" ref="Y196:Y200" si="690">0.71*52*M196</f>
        <v>9.23</v>
      </c>
      <c r="Z196" s="29">
        <f t="shared" ref="Z196:Z200" si="691">172*12*M196</f>
        <v>516</v>
      </c>
      <c r="AA196" s="29">
        <f t="shared" ref="AA196:AA200" si="692">+(S196+T196+U196)*0.01</f>
        <v>475.17484560000003</v>
      </c>
      <c r="AB196" s="29">
        <f t="shared" ref="AB196:AB200" si="693">SUM(S196:AA196)</f>
        <v>52379.245085600007</v>
      </c>
      <c r="AC196" s="3">
        <f t="shared" si="684"/>
        <v>1</v>
      </c>
      <c r="AD196" s="29">
        <f t="shared" si="685"/>
        <v>52379.245085600007</v>
      </c>
    </row>
    <row r="197" spans="1:30" ht="15" customHeight="1" x14ac:dyDescent="0.25">
      <c r="L197" s="7"/>
    </row>
    <row r="198" spans="1:30" ht="15" customHeight="1" x14ac:dyDescent="0.25">
      <c r="A198" s="205" t="s">
        <v>75</v>
      </c>
      <c r="B198" t="s">
        <v>76</v>
      </c>
      <c r="C198" t="s">
        <v>77</v>
      </c>
      <c r="G198" t="s">
        <v>1062</v>
      </c>
      <c r="H198" t="s">
        <v>6</v>
      </c>
      <c r="I198">
        <v>81.61</v>
      </c>
      <c r="J198" s="3">
        <v>1</v>
      </c>
      <c r="K198" t="s">
        <v>447</v>
      </c>
      <c r="L198" s="7" t="s">
        <v>1033</v>
      </c>
      <c r="M198" s="3">
        <v>0.25</v>
      </c>
      <c r="O198" t="s">
        <v>1032</v>
      </c>
      <c r="P198" s="40">
        <f>+M198</f>
        <v>0.25</v>
      </c>
      <c r="Q198" s="29">
        <f t="shared" ref="Q198:Q200" si="694">+P198*$I$198</f>
        <v>20.4025</v>
      </c>
      <c r="S198" s="29">
        <f>+Q198*40*52</f>
        <v>42437.200000000004</v>
      </c>
      <c r="T198" s="29">
        <f t="shared" si="686"/>
        <v>3535.0187600000004</v>
      </c>
      <c r="U198" s="29">
        <f t="shared" si="687"/>
        <v>3535.0187600000004</v>
      </c>
      <c r="V198" s="29">
        <f t="shared" si="688"/>
        <v>424.37200000000007</v>
      </c>
      <c r="W198" s="29">
        <f t="shared" ref="W198:W201" si="695">+S198*0.083</f>
        <v>3522.2876000000006</v>
      </c>
      <c r="X198" s="29">
        <f t="shared" si="689"/>
        <v>76.386960000000002</v>
      </c>
      <c r="Y198" s="29">
        <f t="shared" si="690"/>
        <v>9.23</v>
      </c>
      <c r="Z198" s="29">
        <f t="shared" si="691"/>
        <v>516</v>
      </c>
      <c r="AA198" s="29">
        <f t="shared" si="692"/>
        <v>495.07237520000001</v>
      </c>
      <c r="AB198" s="29">
        <f t="shared" si="693"/>
        <v>54550.586455200013</v>
      </c>
      <c r="AC198" s="3">
        <f>+$J$193</f>
        <v>1</v>
      </c>
      <c r="AD198" s="29">
        <f t="shared" si="685"/>
        <v>54550.586455200013</v>
      </c>
    </row>
    <row r="199" spans="1:30" ht="15" customHeight="1" x14ac:dyDescent="0.25">
      <c r="L199" s="7"/>
      <c r="M199" s="3">
        <v>0.25</v>
      </c>
      <c r="O199" t="s">
        <v>1036</v>
      </c>
      <c r="P199" s="40">
        <f t="shared" ref="P199:P201" si="696">+M199</f>
        <v>0.25</v>
      </c>
      <c r="Q199" s="29">
        <f t="shared" si="694"/>
        <v>20.4025</v>
      </c>
      <c r="S199" s="29">
        <f>+Q199*40*52</f>
        <v>42437.200000000004</v>
      </c>
      <c r="T199" s="29">
        <f t="shared" si="686"/>
        <v>3535.0187600000004</v>
      </c>
      <c r="U199" s="29">
        <f t="shared" si="687"/>
        <v>3535.0187600000004</v>
      </c>
      <c r="V199" s="29">
        <f t="shared" si="688"/>
        <v>424.37200000000007</v>
      </c>
      <c r="W199" s="29">
        <f t="shared" si="695"/>
        <v>3522.2876000000006</v>
      </c>
      <c r="X199" s="29">
        <f t="shared" si="689"/>
        <v>76.386960000000002</v>
      </c>
      <c r="Y199" s="29">
        <f t="shared" si="690"/>
        <v>9.23</v>
      </c>
      <c r="Z199" s="29">
        <f t="shared" si="691"/>
        <v>516</v>
      </c>
      <c r="AA199" s="29">
        <f t="shared" si="692"/>
        <v>495.07237520000001</v>
      </c>
      <c r="AB199" s="29">
        <f t="shared" si="693"/>
        <v>54550.586455200013</v>
      </c>
      <c r="AC199" s="3">
        <f t="shared" si="684"/>
        <v>1</v>
      </c>
      <c r="AD199" s="29">
        <f t="shared" ref="AD199:AD201" si="697">+AB199/AC199</f>
        <v>54550.586455200013</v>
      </c>
    </row>
    <row r="200" spans="1:30" ht="15" customHeight="1" x14ac:dyDescent="0.25">
      <c r="L200" s="7"/>
      <c r="M200" s="3">
        <v>0.25</v>
      </c>
      <c r="O200" t="s">
        <v>1037</v>
      </c>
      <c r="P200" s="40">
        <f t="shared" si="696"/>
        <v>0.25</v>
      </c>
      <c r="Q200" s="29">
        <f t="shared" si="694"/>
        <v>20.4025</v>
      </c>
      <c r="S200" s="29">
        <f>+Q200*40*52</f>
        <v>42437.200000000004</v>
      </c>
      <c r="T200" s="29">
        <f t="shared" si="686"/>
        <v>3535.0187600000004</v>
      </c>
      <c r="U200" s="29">
        <f t="shared" si="687"/>
        <v>3535.0187600000004</v>
      </c>
      <c r="V200" s="29">
        <f t="shared" si="688"/>
        <v>424.37200000000007</v>
      </c>
      <c r="W200" s="29">
        <f t="shared" si="695"/>
        <v>3522.2876000000006</v>
      </c>
      <c r="X200" s="29">
        <f t="shared" si="689"/>
        <v>76.386960000000002</v>
      </c>
      <c r="Y200" s="29">
        <f t="shared" si="690"/>
        <v>9.23</v>
      </c>
      <c r="Z200" s="29">
        <f t="shared" si="691"/>
        <v>516</v>
      </c>
      <c r="AA200" s="29">
        <f t="shared" si="692"/>
        <v>495.07237520000001</v>
      </c>
      <c r="AB200" s="29">
        <f t="shared" si="693"/>
        <v>54550.586455200013</v>
      </c>
      <c r="AC200" s="3">
        <f t="shared" si="684"/>
        <v>1</v>
      </c>
      <c r="AD200" s="29">
        <f t="shared" si="697"/>
        <v>54550.586455200013</v>
      </c>
    </row>
    <row r="201" spans="1:30" ht="15" customHeight="1" x14ac:dyDescent="0.25">
      <c r="L201" s="7"/>
      <c r="M201" s="3">
        <v>0.25</v>
      </c>
      <c r="O201" t="s">
        <v>1064</v>
      </c>
      <c r="P201" s="40">
        <f t="shared" si="696"/>
        <v>0.25</v>
      </c>
      <c r="Q201" s="29">
        <f>+P201*$I$198</f>
        <v>20.4025</v>
      </c>
      <c r="S201" s="29">
        <f>+Q201*40*52</f>
        <v>42437.200000000004</v>
      </c>
      <c r="T201" s="29">
        <f t="shared" ref="T201" si="698">+S201*0.0833</f>
        <v>3535.0187600000004</v>
      </c>
      <c r="U201" s="29">
        <f t="shared" ref="U201" si="699">+T201</f>
        <v>3535.0187600000004</v>
      </c>
      <c r="V201" s="29">
        <f t="shared" ref="V201" si="700">+S201*0.01</f>
        <v>424.37200000000007</v>
      </c>
      <c r="W201" s="29">
        <f t="shared" si="695"/>
        <v>3522.2876000000006</v>
      </c>
      <c r="X201" s="29">
        <f t="shared" ref="X201" si="701">+S201*0.0018</f>
        <v>76.386960000000002</v>
      </c>
      <c r="Y201" s="29">
        <f t="shared" ref="Y201" si="702">0.71*52*M201</f>
        <v>9.23</v>
      </c>
      <c r="Z201" s="29">
        <f t="shared" ref="Z201" si="703">172*12*M201</f>
        <v>516</v>
      </c>
      <c r="AA201" s="29">
        <f t="shared" ref="AA201" si="704">+(S201+T201+U201)*0.01</f>
        <v>495.07237520000001</v>
      </c>
      <c r="AB201" s="29">
        <f t="shared" ref="AB201" si="705">SUM(S201:AA201)</f>
        <v>54550.586455200013</v>
      </c>
      <c r="AC201" s="3">
        <f t="shared" si="684"/>
        <v>1</v>
      </c>
      <c r="AD201" s="29">
        <f t="shared" si="697"/>
        <v>54550.586455200013</v>
      </c>
    </row>
    <row r="202" spans="1:30" ht="15" customHeight="1" x14ac:dyDescent="0.25">
      <c r="L202" s="7"/>
    </row>
    <row r="203" spans="1:30" ht="15" customHeight="1" x14ac:dyDescent="0.25">
      <c r="A203" s="213" t="s">
        <v>1570</v>
      </c>
      <c r="B203" t="s">
        <v>1035</v>
      </c>
      <c r="H203" t="s">
        <v>1033</v>
      </c>
      <c r="I203">
        <v>127.456647398844</v>
      </c>
      <c r="J203" s="3">
        <v>1</v>
      </c>
      <c r="K203" t="s">
        <v>447</v>
      </c>
      <c r="L203" s="7" t="s">
        <v>1033</v>
      </c>
      <c r="M203" s="3">
        <v>0.33</v>
      </c>
      <c r="O203" t="s">
        <v>1032</v>
      </c>
      <c r="P203" s="40">
        <f t="shared" ref="P203:P205" si="706">+M203</f>
        <v>0.33</v>
      </c>
      <c r="Q203" s="29">
        <f>+P203*$I$193</f>
        <v>25.8489</v>
      </c>
      <c r="S203" s="29">
        <f>+Q203*40*52</f>
        <v>53765.712000000007</v>
      </c>
      <c r="T203" s="29">
        <f t="shared" ref="T203:T205" si="707">+S203*0.0833</f>
        <v>4478.6838096000001</v>
      </c>
      <c r="U203" s="29">
        <f t="shared" ref="U203:U205" si="708">+T203</f>
        <v>4478.6838096000001</v>
      </c>
      <c r="V203" s="29">
        <f t="shared" ref="V203:V205" si="709">+S203*0.01</f>
        <v>537.65712000000008</v>
      </c>
      <c r="W203" s="29">
        <f t="shared" ref="W203:W205" si="710">+S203*0.083</f>
        <v>4462.5540960000008</v>
      </c>
      <c r="X203" s="29">
        <f t="shared" ref="X203:X205" si="711">+S203*0.0018</f>
        <v>96.778281600000014</v>
      </c>
      <c r="Y203" s="29">
        <f t="shared" ref="Y203:Y205" si="712">0.71*52*M203</f>
        <v>12.183600000000002</v>
      </c>
      <c r="Z203" s="29">
        <f t="shared" ref="Z203:Z205" si="713">172*12*M203</f>
        <v>681.12</v>
      </c>
      <c r="AA203" s="29">
        <f t="shared" ref="AA203:AA205" si="714">+(S203+T203+U203)*0.01</f>
        <v>627.23079619200007</v>
      </c>
      <c r="AB203" s="29">
        <f t="shared" ref="AB203:AB205" si="715">SUM(S203:AA203)</f>
        <v>69140.603512992006</v>
      </c>
      <c r="AC203" s="3">
        <f>+$J$203</f>
        <v>1</v>
      </c>
      <c r="AD203" s="29">
        <f t="shared" ref="AD203:AD205" si="716">+AB203/AC203</f>
        <v>69140.603512992006</v>
      </c>
    </row>
    <row r="204" spans="1:30" ht="15" customHeight="1" x14ac:dyDescent="0.25">
      <c r="L204" s="7"/>
      <c r="M204" s="3">
        <v>0.33</v>
      </c>
      <c r="O204" t="s">
        <v>1036</v>
      </c>
      <c r="P204" s="40">
        <f t="shared" si="706"/>
        <v>0.33</v>
      </c>
      <c r="Q204" s="29">
        <f>+P204*$I$193</f>
        <v>25.8489</v>
      </c>
      <c r="S204" s="29">
        <f>+Q204*40*52</f>
        <v>53765.712000000007</v>
      </c>
      <c r="T204" s="29">
        <f t="shared" si="707"/>
        <v>4478.6838096000001</v>
      </c>
      <c r="U204" s="29">
        <f t="shared" si="708"/>
        <v>4478.6838096000001</v>
      </c>
      <c r="V204" s="29">
        <f t="shared" si="709"/>
        <v>537.65712000000008</v>
      </c>
      <c r="W204" s="29">
        <f t="shared" si="710"/>
        <v>4462.5540960000008</v>
      </c>
      <c r="X204" s="29">
        <f t="shared" si="711"/>
        <v>96.778281600000014</v>
      </c>
      <c r="Y204" s="29">
        <f t="shared" si="712"/>
        <v>12.183600000000002</v>
      </c>
      <c r="Z204" s="29">
        <f t="shared" si="713"/>
        <v>681.12</v>
      </c>
      <c r="AA204" s="29">
        <f t="shared" si="714"/>
        <v>627.23079619200007</v>
      </c>
      <c r="AB204" s="29">
        <f t="shared" si="715"/>
        <v>69140.603512992006</v>
      </c>
      <c r="AC204" s="3">
        <f t="shared" ref="AC204:AC205" si="717">+$J$203</f>
        <v>1</v>
      </c>
      <c r="AD204" s="29">
        <f t="shared" si="716"/>
        <v>69140.603512992006</v>
      </c>
    </row>
    <row r="205" spans="1:30" ht="15" customHeight="1" x14ac:dyDescent="0.25">
      <c r="L205" s="7"/>
      <c r="M205" s="3">
        <v>0.34</v>
      </c>
      <c r="O205" t="s">
        <v>1037</v>
      </c>
      <c r="P205" s="40">
        <f t="shared" si="706"/>
        <v>0.34</v>
      </c>
      <c r="Q205" s="29">
        <f>+P205*$I$193</f>
        <v>26.632200000000001</v>
      </c>
      <c r="S205" s="29">
        <f>+Q205*40*52</f>
        <v>55394.976000000002</v>
      </c>
      <c r="T205" s="29">
        <f t="shared" si="707"/>
        <v>4614.4015008000006</v>
      </c>
      <c r="U205" s="29">
        <f t="shared" si="708"/>
        <v>4614.4015008000006</v>
      </c>
      <c r="V205" s="29">
        <f t="shared" si="709"/>
        <v>553.94976000000008</v>
      </c>
      <c r="W205" s="29">
        <f t="shared" si="710"/>
        <v>4597.7830080000003</v>
      </c>
      <c r="X205" s="29">
        <f t="shared" si="711"/>
        <v>99.710956800000005</v>
      </c>
      <c r="Y205" s="29">
        <f t="shared" si="712"/>
        <v>12.552800000000001</v>
      </c>
      <c r="Z205" s="29">
        <f t="shared" si="713"/>
        <v>701.7600000000001</v>
      </c>
      <c r="AA205" s="29">
        <f t="shared" si="714"/>
        <v>646.23779001599996</v>
      </c>
      <c r="AB205" s="29">
        <f t="shared" si="715"/>
        <v>71235.773316416016</v>
      </c>
      <c r="AC205" s="3">
        <f t="shared" si="717"/>
        <v>1</v>
      </c>
      <c r="AD205" s="29">
        <f t="shared" si="716"/>
        <v>71235.773316416016</v>
      </c>
    </row>
    <row r="206" spans="1:30" ht="15" customHeight="1" x14ac:dyDescent="0.25">
      <c r="L206" s="7"/>
    </row>
    <row r="207" spans="1:30" ht="15" customHeight="1" x14ac:dyDescent="0.25">
      <c r="L207" s="7"/>
    </row>
    <row r="208" spans="1:30" ht="15" customHeight="1" x14ac:dyDescent="0.25">
      <c r="A208" s="127" t="s">
        <v>1042</v>
      </c>
      <c r="L208" s="7"/>
    </row>
    <row r="209" spans="1:30" ht="15" customHeight="1" x14ac:dyDescent="0.25">
      <c r="A209" s="205" t="s">
        <v>856</v>
      </c>
      <c r="B209" t="s">
        <v>944</v>
      </c>
      <c r="C209" t="s">
        <v>945</v>
      </c>
      <c r="G209" t="s">
        <v>15</v>
      </c>
      <c r="H209" t="s">
        <v>16</v>
      </c>
      <c r="I209">
        <v>87.84</v>
      </c>
      <c r="J209" s="3">
        <v>0.75</v>
      </c>
      <c r="K209" t="s">
        <v>447</v>
      </c>
      <c r="L209" s="7" t="s">
        <v>1042</v>
      </c>
      <c r="M209" s="3">
        <v>1</v>
      </c>
      <c r="O209" s="28" t="s">
        <v>1044</v>
      </c>
      <c r="P209" s="40">
        <v>1</v>
      </c>
      <c r="Q209" s="29">
        <f>+P209*I209</f>
        <v>87.84</v>
      </c>
      <c r="R209" s="34"/>
      <c r="S209" s="29">
        <f>+Q209*40*52</f>
        <v>182707.20000000001</v>
      </c>
      <c r="T209" s="29">
        <f t="shared" ref="T209" si="718">+S209*0.0833</f>
        <v>15219.509760000001</v>
      </c>
      <c r="U209" s="29">
        <f t="shared" ref="U209" si="719">+T209</f>
        <v>15219.509760000001</v>
      </c>
      <c r="V209" s="29">
        <f t="shared" ref="V209" si="720">+S209*0.01</f>
        <v>1827.0720000000001</v>
      </c>
      <c r="W209" s="29">
        <f t="shared" ref="W209" si="721">+S209*0.083</f>
        <v>15164.697600000001</v>
      </c>
      <c r="X209" s="29">
        <f t="shared" ref="X209" si="722">+S209*0.0018</f>
        <v>328.87296000000003</v>
      </c>
      <c r="Y209" s="29">
        <f t="shared" ref="Y209" si="723">0.71*52*M209</f>
        <v>36.92</v>
      </c>
      <c r="Z209" s="29">
        <f t="shared" ref="Z209" si="724">172*12*M209</f>
        <v>2064</v>
      </c>
      <c r="AA209" s="29">
        <f t="shared" ref="AA209" si="725">+(S209+T209+U209)*0.01</f>
        <v>2131.4621951999998</v>
      </c>
      <c r="AB209" s="29">
        <f t="shared" ref="AB209" si="726">SUM(S209:AA209)</f>
        <v>234699.24427520001</v>
      </c>
      <c r="AC209" s="3">
        <f t="shared" ref="AC209" si="727">IF(+J209&gt;0,J209,AC207)</f>
        <v>0.75</v>
      </c>
      <c r="AD209" s="29">
        <f t="shared" ref="AD209" si="728">+AB209/AC209</f>
        <v>312932.32570026669</v>
      </c>
    </row>
    <row r="210" spans="1:30" ht="15" customHeight="1" x14ac:dyDescent="0.25"/>
    <row r="211" spans="1:30" ht="15" customHeight="1" x14ac:dyDescent="0.25"/>
    <row r="212" spans="1:30" ht="15" customHeight="1" x14ac:dyDescent="0.25"/>
    <row r="213" spans="1:30" ht="15" customHeight="1" x14ac:dyDescent="0.25"/>
    <row r="214" spans="1:30" ht="15" customHeight="1" x14ac:dyDescent="0.25"/>
    <row r="215" spans="1:30" ht="15" customHeight="1" x14ac:dyDescent="0.25"/>
    <row r="216" spans="1:30" ht="15" customHeight="1" x14ac:dyDescent="0.25"/>
    <row r="217" spans="1:30" ht="15" customHeight="1" x14ac:dyDescent="0.25"/>
    <row r="218" spans="1:30" ht="15" customHeight="1" x14ac:dyDescent="0.25"/>
    <row r="219" spans="1:30" ht="15" customHeight="1" x14ac:dyDescent="0.25"/>
    <row r="220" spans="1:30" ht="15" customHeight="1" x14ac:dyDescent="0.25"/>
    <row r="221" spans="1:30" ht="15" customHeight="1" x14ac:dyDescent="0.25"/>
    <row r="222" spans="1:30" ht="15" customHeight="1" x14ac:dyDescent="0.25"/>
    <row r="223" spans="1:30" ht="15" customHeight="1" x14ac:dyDescent="0.25"/>
    <row r="224" spans="1:30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</sheetData>
  <phoneticPr fontId="39" type="noConversion"/>
  <pageMargins left="0.7" right="0.7" top="0.75" bottom="0.75" header="0.3" footer="0.3"/>
  <pageSetup paperSize="9" orientation="portrait" r:id="rId1"/>
  <ignoredErrors>
    <ignoredError sqref="O8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95"/>
  <sheetViews>
    <sheetView workbookViewId="0">
      <pane ySplit="17" topLeftCell="A159" activePane="bottomLeft" state="frozen"/>
      <selection pane="bottomLeft" activeCell="F175" sqref="F175"/>
    </sheetView>
  </sheetViews>
  <sheetFormatPr defaultRowHeight="15" x14ac:dyDescent="0.25"/>
  <cols>
    <col min="1" max="1" width="19.140625" customWidth="1"/>
    <col min="2" max="2" width="28.42578125" bestFit="1" customWidth="1"/>
    <col min="3" max="3" width="9.140625" style="39"/>
    <col min="4" max="4" width="11" style="39" bestFit="1" customWidth="1"/>
    <col min="5" max="5" width="12.42578125" customWidth="1"/>
    <col min="6" max="7" width="15.42578125" style="44" customWidth="1"/>
    <col min="8" max="8" width="11.28515625" style="11" customWidth="1"/>
    <col min="9" max="9" width="11.28515625" style="12" customWidth="1"/>
    <col min="10" max="10" width="16.28515625" style="44" customWidth="1"/>
    <col min="11" max="11" width="15.5703125" customWidth="1"/>
    <col min="12" max="12" width="11.28515625" style="44" customWidth="1"/>
    <col min="13" max="13" width="15.5703125" customWidth="1"/>
    <col min="14" max="16" width="11.28515625" style="44" customWidth="1"/>
    <col min="17" max="17" width="15.5703125" style="12" customWidth="1"/>
    <col min="18" max="18" width="10.140625" style="59" bestFit="1" customWidth="1"/>
    <col min="19" max="19" width="9.140625" style="39"/>
    <col min="20" max="20" width="10.140625" bestFit="1" customWidth="1"/>
  </cols>
  <sheetData>
    <row r="1" spans="1:20" ht="18.75" x14ac:dyDescent="0.3">
      <c r="A1" s="202" t="s">
        <v>1387</v>
      </c>
      <c r="B1" s="202"/>
      <c r="C1" s="59"/>
      <c r="D1" s="59"/>
      <c r="E1" s="148" t="s">
        <v>455</v>
      </c>
      <c r="F1" s="45" t="s">
        <v>1042</v>
      </c>
      <c r="G1" s="45" t="s">
        <v>467</v>
      </c>
      <c r="H1" s="46" t="s">
        <v>468</v>
      </c>
      <c r="I1" s="47" t="s">
        <v>1002</v>
      </c>
      <c r="J1" s="45" t="s">
        <v>845</v>
      </c>
      <c r="K1" s="149" t="s">
        <v>472</v>
      </c>
      <c r="L1" s="45" t="s">
        <v>473</v>
      </c>
      <c r="M1" s="149" t="s">
        <v>384</v>
      </c>
      <c r="N1" s="45" t="s">
        <v>474</v>
      </c>
      <c r="O1" s="45" t="s">
        <v>1033</v>
      </c>
      <c r="P1" s="45" t="s">
        <v>476</v>
      </c>
      <c r="Q1" s="149" t="s">
        <v>493</v>
      </c>
      <c r="R1" s="170" t="s">
        <v>453</v>
      </c>
    </row>
    <row r="2" spans="1:20" x14ac:dyDescent="0.25">
      <c r="E2" s="46" t="s">
        <v>367</v>
      </c>
      <c r="F2" s="46" t="s">
        <v>367</v>
      </c>
      <c r="G2" s="46" t="s">
        <v>367</v>
      </c>
      <c r="H2" s="46" t="s">
        <v>367</v>
      </c>
      <c r="I2" s="47" t="s">
        <v>448</v>
      </c>
      <c r="J2" s="45" t="s">
        <v>366</v>
      </c>
      <c r="K2" s="45" t="s">
        <v>367</v>
      </c>
      <c r="L2" s="45" t="s">
        <v>367</v>
      </c>
      <c r="M2" s="45" t="s">
        <v>367</v>
      </c>
      <c r="N2" s="45" t="s">
        <v>367</v>
      </c>
      <c r="O2" s="45" t="s">
        <v>1034</v>
      </c>
      <c r="P2" s="45" t="s">
        <v>367</v>
      </c>
      <c r="Q2" s="45"/>
      <c r="R2" s="171" t="s">
        <v>1003</v>
      </c>
      <c r="S2" s="48" t="s">
        <v>448</v>
      </c>
      <c r="T2" s="49" t="s">
        <v>453</v>
      </c>
    </row>
    <row r="4" spans="1:20" x14ac:dyDescent="0.25">
      <c r="B4" t="s">
        <v>457</v>
      </c>
      <c r="E4">
        <v>315</v>
      </c>
      <c r="F4" s="44">
        <v>60</v>
      </c>
      <c r="G4" s="44">
        <v>113</v>
      </c>
      <c r="H4" s="11">
        <v>576</v>
      </c>
      <c r="I4" s="12">
        <v>75</v>
      </c>
      <c r="J4" s="44">
        <v>523</v>
      </c>
      <c r="K4">
        <v>379</v>
      </c>
      <c r="L4" s="44">
        <v>200</v>
      </c>
      <c r="M4">
        <v>221</v>
      </c>
      <c r="N4" s="44">
        <v>131</v>
      </c>
      <c r="O4" s="44">
        <v>100</v>
      </c>
      <c r="P4" s="44">
        <v>123</v>
      </c>
      <c r="Q4" s="12">
        <v>659</v>
      </c>
      <c r="R4" s="59">
        <f>+E4+G4+H4+J4+K4+L4+M4+N4+P4+Q4+F4+O4</f>
        <v>3400</v>
      </c>
      <c r="S4" s="39">
        <v>75</v>
      </c>
      <c r="T4">
        <f>+S4+R4</f>
        <v>3475</v>
      </c>
    </row>
    <row r="5" spans="1:20" x14ac:dyDescent="0.25">
      <c r="B5" t="s">
        <v>494</v>
      </c>
      <c r="E5">
        <f ca="1">VLOOKUP(E1,Calc!$B$5:$F$104,5,FALSE)</f>
        <v>9.1499999999999986</v>
      </c>
      <c r="F5">
        <f>VLOOKUP(F1,Calc!$B$5:$F$104,5,FALSE)</f>
        <v>1</v>
      </c>
      <c r="G5">
        <f>VLOOKUP(G1,Calc!$B$5:$F$104,5,FALSE)</f>
        <v>1</v>
      </c>
      <c r="H5">
        <f ca="1">VLOOKUP(H1,Calc!$B$5:$F$104,5,FALSE)</f>
        <v>12.450000000000001</v>
      </c>
      <c r="I5">
        <f ca="1">VLOOKUP(I1,Calc!$B$5:$F$104,5,FALSE)</f>
        <v>2</v>
      </c>
      <c r="J5">
        <f ca="1">VLOOKUP(J1,Calc!$B$5:$F$104,5,FALSE)</f>
        <v>10</v>
      </c>
      <c r="K5">
        <f ca="1">VLOOKUP(K1,Calc!$B$5:$F$104,5,FALSE)</f>
        <v>11</v>
      </c>
      <c r="L5">
        <f>VLOOKUP(L1,Calc!$B$5:$F$104,5,FALSE)</f>
        <v>4</v>
      </c>
      <c r="M5">
        <f ca="1">VLOOKUP(M1,Calc!$B$5:$F$104,5,FALSE)</f>
        <v>8</v>
      </c>
      <c r="N5">
        <f ca="1">VLOOKUP(N1,Calc!$B$5:$F$104,5,FALSE)</f>
        <v>2</v>
      </c>
      <c r="O5">
        <f>VLOOKUP(O1,Calc!$B$5:$F$104,5,FALSE)</f>
        <v>4</v>
      </c>
      <c r="P5">
        <f>VLOOKUP(P1,Calc!$B$5:$F$104,5,FALSE)</f>
        <v>4.5999999999999996</v>
      </c>
      <c r="Q5">
        <v>10</v>
      </c>
      <c r="R5" s="59">
        <f ca="1">+E5+G5+H5+J5+K5+L5+M5+N5+P5+Q5</f>
        <v>72.2</v>
      </c>
      <c r="T5">
        <f ca="1">SUM(E5:Q5)</f>
        <v>79.199999999999989</v>
      </c>
    </row>
    <row r="6" spans="1:20" x14ac:dyDescent="0.25">
      <c r="B6" t="s">
        <v>495</v>
      </c>
      <c r="E6" s="182">
        <f>VLOOKUP(E1,'Asset Allocation'!$C$1:$I$3022,7,FALSE)</f>
        <v>3127047.57</v>
      </c>
      <c r="F6" s="106">
        <f>+'Asset Allocation'!I336</f>
        <v>1289500</v>
      </c>
      <c r="G6" s="182">
        <f>VLOOKUP(G1,'Asset Allocation'!$C$1:$I$3022,7,FALSE)</f>
        <v>4317281</v>
      </c>
      <c r="H6" s="182">
        <f>VLOOKUP(H1,'Asset Allocation'!$C$1:$I$3022,7,FALSE)</f>
        <v>231919.38</v>
      </c>
      <c r="I6" s="107">
        <v>0</v>
      </c>
      <c r="J6" s="182">
        <f>VLOOKUP(J1,'Asset Allocation'!$C$1:$I$3022,7,FALSE)</f>
        <v>654673.44000000006</v>
      </c>
      <c r="K6" s="182">
        <f>VLOOKUP(K1,'Asset Allocation'!$C$1:$I$3022,7,FALSE)</f>
        <v>2421547.3400000003</v>
      </c>
      <c r="L6" s="182">
        <f>VLOOKUP(L1,'Asset Allocation'!$C$1:$I$3022,7,FALSE)</f>
        <v>3864278.7000000007</v>
      </c>
      <c r="M6" s="182">
        <f>VLOOKUP(M1,'Asset Allocation'!$C$1:$I$3022,7,FALSE)</f>
        <v>951672.94000000006</v>
      </c>
      <c r="N6" s="182">
        <f>VLOOKUP(N1,'Asset Allocation'!$C$1:$I$3022,7,FALSE)</f>
        <v>351270.5</v>
      </c>
      <c r="O6" s="182">
        <f>VLOOKUP(O1,'Asset Allocation'!$C$1:$I$3022,7,FALSE)</f>
        <v>1239213</v>
      </c>
      <c r="P6" s="182">
        <f>VLOOKUP(P1,'Asset Allocation'!$C$1:$I$3022,7,FALSE)</f>
        <v>1148788.33</v>
      </c>
      <c r="Q6" s="182">
        <f>VLOOKUP(Q1,'Asset Allocation'!$C$1:$I$3022,7,FALSE)</f>
        <v>906583.42200000014</v>
      </c>
      <c r="R6" s="107">
        <f>+E6+G6+H6+J6+K6+L6+M6+N6+P6+Q6+O6+F6</f>
        <v>20503775.622000001</v>
      </c>
      <c r="T6" s="39">
        <f>SUM(E6:Q6)</f>
        <v>20503775.622000001</v>
      </c>
    </row>
    <row r="7" spans="1:20" x14ac:dyDescent="0.25">
      <c r="A7" s="6" t="s">
        <v>1005</v>
      </c>
      <c r="E7" s="59"/>
      <c r="F7" s="106"/>
      <c r="G7" s="106"/>
      <c r="H7" s="106"/>
      <c r="I7" s="108"/>
      <c r="J7" s="106"/>
      <c r="K7" s="59"/>
      <c r="L7" s="106"/>
      <c r="M7" s="59"/>
      <c r="N7" s="106"/>
      <c r="O7" s="106"/>
      <c r="P7" s="106"/>
      <c r="Q7" s="59"/>
      <c r="T7" s="39"/>
    </row>
    <row r="8" spans="1:20" x14ac:dyDescent="0.25">
      <c r="B8" t="s">
        <v>807</v>
      </c>
      <c r="E8" s="52">
        <v>0.02</v>
      </c>
      <c r="F8" s="53">
        <v>0.01</v>
      </c>
      <c r="G8" s="53">
        <v>0.05</v>
      </c>
      <c r="H8" s="51">
        <v>0.02</v>
      </c>
      <c r="I8" s="54">
        <v>0.5</v>
      </c>
      <c r="J8" s="53">
        <v>0.04</v>
      </c>
      <c r="K8" s="52">
        <v>0.68</v>
      </c>
      <c r="L8" s="53">
        <v>0.02</v>
      </c>
      <c r="M8" s="52">
        <v>0.02</v>
      </c>
      <c r="N8" s="53">
        <v>0.04</v>
      </c>
      <c r="O8" s="53">
        <v>0.08</v>
      </c>
      <c r="P8" s="53">
        <v>0.02</v>
      </c>
      <c r="Q8" s="54">
        <v>0</v>
      </c>
      <c r="R8" s="172">
        <f>+E8+G8+H8+J8+K8+L8+M8+N8+P8+Q8+O8+F8</f>
        <v>1</v>
      </c>
      <c r="S8" s="52">
        <f>+I8</f>
        <v>0.5</v>
      </c>
    </row>
    <row r="9" spans="1:20" x14ac:dyDescent="0.25">
      <c r="B9" t="s">
        <v>808</v>
      </c>
      <c r="E9" s="52">
        <v>0.1</v>
      </c>
      <c r="F9" s="53">
        <v>0.06</v>
      </c>
      <c r="G9" s="53">
        <v>0.1</v>
      </c>
      <c r="H9" s="51">
        <v>0.03</v>
      </c>
      <c r="I9" s="54">
        <v>0.5</v>
      </c>
      <c r="J9" s="53">
        <v>0.08</v>
      </c>
      <c r="K9" s="52">
        <v>0.2</v>
      </c>
      <c r="L9" s="53">
        <v>0.15</v>
      </c>
      <c r="M9" s="52">
        <v>0.03</v>
      </c>
      <c r="N9" s="53">
        <v>0.05</v>
      </c>
      <c r="O9" s="53">
        <v>0.1</v>
      </c>
      <c r="P9" s="53">
        <v>0.05</v>
      </c>
      <c r="Q9" s="54">
        <v>0.05</v>
      </c>
      <c r="R9" s="172">
        <f>+E9+G9+H9+J9+K9+L9+M9+N9+P9+Q9+O9+F9</f>
        <v>1.0000000000000002</v>
      </c>
      <c r="S9" s="52">
        <f>+I9</f>
        <v>0.5</v>
      </c>
      <c r="T9" s="52"/>
    </row>
    <row r="10" spans="1:20" x14ac:dyDescent="0.25">
      <c r="A10" s="6" t="s">
        <v>1004</v>
      </c>
      <c r="E10" s="52"/>
      <c r="F10" s="53"/>
      <c r="G10" s="53"/>
      <c r="H10" s="51"/>
      <c r="I10" s="54"/>
      <c r="J10" s="53"/>
      <c r="K10" s="52"/>
      <c r="L10" s="53"/>
      <c r="M10" s="52"/>
      <c r="N10" s="53"/>
      <c r="O10" s="53"/>
      <c r="P10" s="53"/>
      <c r="Q10" s="54"/>
      <c r="R10" s="172"/>
      <c r="S10" s="52"/>
      <c r="T10" s="52"/>
    </row>
    <row r="11" spans="1:20" x14ac:dyDescent="0.25">
      <c r="A11" s="6"/>
      <c r="B11" t="s">
        <v>1051</v>
      </c>
      <c r="C11" s="39" t="s">
        <v>1564</v>
      </c>
      <c r="E11" s="3">
        <v>0.14000000000000001</v>
      </c>
      <c r="F11" s="185">
        <v>0.03</v>
      </c>
      <c r="G11" s="185">
        <v>0.28999999999999998</v>
      </c>
      <c r="H11" s="186">
        <v>0.01</v>
      </c>
      <c r="I11" s="187">
        <v>5.0000000000000001E-3</v>
      </c>
      <c r="J11" s="185">
        <v>0.02</v>
      </c>
      <c r="K11" s="3">
        <v>0.11</v>
      </c>
      <c r="L11" s="185">
        <v>0.2</v>
      </c>
      <c r="M11" s="3">
        <v>0.12</v>
      </c>
      <c r="N11" s="185">
        <v>0.01</v>
      </c>
      <c r="O11" s="185">
        <v>0.03</v>
      </c>
      <c r="P11" s="185">
        <v>0.02</v>
      </c>
      <c r="Q11" s="54">
        <f ca="1">+'Asset Allocation'!S267</f>
        <v>2.2072360860702116E-2</v>
      </c>
      <c r="R11" s="172">
        <f ca="1">+E11+G11+H11+J11+K11+L11+M11+N11+P11+Q11+O11+F11</f>
        <v>1.0020723608607021</v>
      </c>
      <c r="S11" s="52"/>
      <c r="T11" s="52"/>
    </row>
    <row r="12" spans="1:20" x14ac:dyDescent="0.25">
      <c r="A12" s="6"/>
      <c r="B12" t="s">
        <v>1008</v>
      </c>
      <c r="E12" s="3">
        <v>0.15</v>
      </c>
      <c r="F12" s="185"/>
      <c r="G12" s="185"/>
      <c r="H12" s="186"/>
      <c r="I12" s="187"/>
      <c r="J12" s="185"/>
      <c r="K12" s="3">
        <v>0.6</v>
      </c>
      <c r="L12" s="185"/>
      <c r="M12" s="3">
        <v>0.1</v>
      </c>
      <c r="N12" s="185"/>
      <c r="O12" s="185"/>
      <c r="P12" s="185"/>
      <c r="Q12" s="54">
        <v>0.15</v>
      </c>
      <c r="R12" s="172">
        <f>SUM(E12:Q12)</f>
        <v>1</v>
      </c>
      <c r="S12" s="52"/>
      <c r="T12" s="52"/>
    </row>
    <row r="13" spans="1:20" x14ac:dyDescent="0.25">
      <c r="B13" t="s">
        <v>496</v>
      </c>
      <c r="E13" s="3">
        <v>0.12</v>
      </c>
      <c r="F13" s="185">
        <v>0.1</v>
      </c>
      <c r="G13" s="185">
        <v>0.1</v>
      </c>
      <c r="H13" s="186">
        <v>0.02</v>
      </c>
      <c r="I13" s="187">
        <v>0.02</v>
      </c>
      <c r="J13" s="185">
        <v>0.05</v>
      </c>
      <c r="K13" s="3">
        <v>0.08</v>
      </c>
      <c r="L13" s="185">
        <v>0.15</v>
      </c>
      <c r="M13" s="3">
        <v>0.05</v>
      </c>
      <c r="N13" s="185">
        <v>0.08</v>
      </c>
      <c r="O13" s="185">
        <v>0.05</v>
      </c>
      <c r="P13" s="185">
        <v>0.08</v>
      </c>
      <c r="Q13" s="54">
        <v>0.1</v>
      </c>
      <c r="R13" s="172">
        <f>SUM(E13:Q13)</f>
        <v>1</v>
      </c>
      <c r="S13" s="52"/>
      <c r="T13" s="52"/>
    </row>
    <row r="14" spans="1:20" x14ac:dyDescent="0.25">
      <c r="B14" t="s">
        <v>497</v>
      </c>
      <c r="E14" s="3">
        <v>0.1</v>
      </c>
      <c r="F14" s="185">
        <v>0</v>
      </c>
      <c r="G14" s="185">
        <v>0.2</v>
      </c>
      <c r="H14" s="186">
        <v>0.05</v>
      </c>
      <c r="I14" s="187">
        <v>0.05</v>
      </c>
      <c r="J14" s="185">
        <v>0.1</v>
      </c>
      <c r="K14" s="3">
        <v>0.06</v>
      </c>
      <c r="L14" s="185">
        <v>0.21</v>
      </c>
      <c r="M14" s="3">
        <v>0.02</v>
      </c>
      <c r="N14" s="185">
        <v>0</v>
      </c>
      <c r="O14" s="185">
        <v>0.15</v>
      </c>
      <c r="P14" s="185">
        <v>0.05</v>
      </c>
      <c r="Q14" s="54">
        <v>0.01</v>
      </c>
      <c r="R14" s="172">
        <f>SUM(E14:Q14)</f>
        <v>1</v>
      </c>
      <c r="S14" s="52"/>
      <c r="T14" s="52"/>
    </row>
    <row r="15" spans="1:20" x14ac:dyDescent="0.25">
      <c r="B15" t="s">
        <v>493</v>
      </c>
      <c r="E15" s="3">
        <v>0.1</v>
      </c>
      <c r="F15" s="185">
        <v>0.05</v>
      </c>
      <c r="G15" s="185">
        <v>0.1</v>
      </c>
      <c r="H15" s="186">
        <v>0.15</v>
      </c>
      <c r="I15" s="187">
        <v>0.05</v>
      </c>
      <c r="J15" s="185">
        <v>0.1</v>
      </c>
      <c r="K15" s="3">
        <v>0.05</v>
      </c>
      <c r="L15" s="185">
        <v>0.15</v>
      </c>
      <c r="M15" s="3">
        <v>0.1</v>
      </c>
      <c r="N15" s="185">
        <v>0.05</v>
      </c>
      <c r="O15" s="185">
        <v>0.05</v>
      </c>
      <c r="P15" s="185">
        <v>0.05</v>
      </c>
      <c r="Q15" s="54"/>
      <c r="R15" s="172">
        <f t="shared" ref="R15:R17" si="0">SUM(E15:Q15)</f>
        <v>1.0000000000000002</v>
      </c>
      <c r="S15" s="52"/>
      <c r="T15" s="52"/>
    </row>
    <row r="16" spans="1:20" x14ac:dyDescent="0.25">
      <c r="B16" t="s">
        <v>811</v>
      </c>
      <c r="E16" s="3">
        <v>0.15</v>
      </c>
      <c r="F16" s="185">
        <v>0.03</v>
      </c>
      <c r="G16" s="185">
        <v>7.0000000000000007E-2</v>
      </c>
      <c r="H16" s="186">
        <v>0.15</v>
      </c>
      <c r="I16" s="187">
        <v>0.05</v>
      </c>
      <c r="J16" s="185">
        <v>0.1</v>
      </c>
      <c r="K16" s="3">
        <v>0.1</v>
      </c>
      <c r="L16" s="185">
        <v>0.1</v>
      </c>
      <c r="M16" s="3">
        <v>0.05</v>
      </c>
      <c r="N16" s="185">
        <v>0.05</v>
      </c>
      <c r="O16" s="185">
        <v>0.05</v>
      </c>
      <c r="P16" s="185">
        <v>0.1</v>
      </c>
      <c r="Q16" s="54"/>
      <c r="R16" s="172">
        <f t="shared" si="0"/>
        <v>1.0000000000000002</v>
      </c>
      <c r="S16" s="52"/>
      <c r="T16" s="52"/>
    </row>
    <row r="17" spans="1:21" x14ac:dyDescent="0.25">
      <c r="B17" t="s">
        <v>820</v>
      </c>
      <c r="E17" s="3">
        <v>0.15</v>
      </c>
      <c r="F17" s="185">
        <v>0.05</v>
      </c>
      <c r="G17" s="185">
        <v>0.05</v>
      </c>
      <c r="H17" s="186">
        <v>0.05</v>
      </c>
      <c r="I17" s="187"/>
      <c r="J17" s="185">
        <v>0.05</v>
      </c>
      <c r="K17" s="3">
        <v>0.2</v>
      </c>
      <c r="L17" s="185">
        <v>0.2</v>
      </c>
      <c r="M17" s="3">
        <v>0.05</v>
      </c>
      <c r="N17" s="185">
        <v>0.05</v>
      </c>
      <c r="O17" s="185">
        <v>0.1</v>
      </c>
      <c r="P17" s="185">
        <v>0.05</v>
      </c>
      <c r="Q17" s="54"/>
      <c r="R17" s="172">
        <f t="shared" si="0"/>
        <v>1</v>
      </c>
      <c r="S17" s="52"/>
      <c r="T17" s="52"/>
    </row>
    <row r="18" spans="1:21" ht="18.75" x14ac:dyDescent="0.3">
      <c r="A18" s="64" t="s">
        <v>602</v>
      </c>
      <c r="D18" s="39" t="s">
        <v>407</v>
      </c>
    </row>
    <row r="19" spans="1:21" ht="18.75" x14ac:dyDescent="0.3">
      <c r="A19" s="67"/>
      <c r="B19" s="9"/>
      <c r="C19" s="68"/>
      <c r="D19" s="68"/>
      <c r="E19" s="9"/>
      <c r="F19" s="69"/>
      <c r="G19" s="69"/>
      <c r="H19" s="8"/>
      <c r="I19" s="10"/>
      <c r="J19" s="69"/>
      <c r="K19" s="9"/>
      <c r="L19" s="69"/>
      <c r="M19" s="9"/>
      <c r="N19" s="69"/>
      <c r="O19" s="69"/>
      <c r="P19" s="69"/>
      <c r="Q19" s="10"/>
      <c r="R19" s="93"/>
      <c r="S19" s="10"/>
    </row>
    <row r="20" spans="1:21" ht="15.75" x14ac:dyDescent="0.25">
      <c r="A20" s="70" t="s">
        <v>498</v>
      </c>
      <c r="S20" s="12"/>
    </row>
    <row r="21" spans="1:21" x14ac:dyDescent="0.25">
      <c r="A21" s="11"/>
      <c r="S21" s="12"/>
    </row>
    <row r="22" spans="1:21" ht="15.75" x14ac:dyDescent="0.25">
      <c r="A22" s="71" t="s">
        <v>499</v>
      </c>
      <c r="S22" s="12"/>
    </row>
    <row r="23" spans="1:21" x14ac:dyDescent="0.25">
      <c r="A23" s="72" t="s">
        <v>500</v>
      </c>
      <c r="C23" s="39">
        <v>11</v>
      </c>
      <c r="S23" s="12"/>
    </row>
    <row r="24" spans="1:21" x14ac:dyDescent="0.25">
      <c r="A24" s="73" t="s">
        <v>453</v>
      </c>
      <c r="C24" s="39" t="s">
        <v>501</v>
      </c>
      <c r="D24" s="39" t="s">
        <v>502</v>
      </c>
      <c r="S24" s="12"/>
    </row>
    <row r="25" spans="1:21" s="160" customFormat="1" x14ac:dyDescent="0.25">
      <c r="A25" s="168" t="s">
        <v>503</v>
      </c>
      <c r="B25" s="160" t="s">
        <v>504</v>
      </c>
      <c r="C25" s="161"/>
      <c r="D25" s="161">
        <f>+C25/$C$23*12</f>
        <v>0</v>
      </c>
      <c r="E25" s="162"/>
      <c r="F25" s="163">
        <f>ROUND(+F$4/$R$4*$D25,0)</f>
        <v>0</v>
      </c>
      <c r="G25" s="163">
        <f>ROUND(+G$4/$R$4*$D25,0)</f>
        <v>0</v>
      </c>
      <c r="H25" s="164"/>
      <c r="I25" s="165"/>
      <c r="J25" s="166">
        <f>ROUND(+J$4/$R$4*$D25,0)</f>
        <v>0</v>
      </c>
      <c r="K25" s="160">
        <f>ROUND(+K$4/$R$4*$D25,0)</f>
        <v>0</v>
      </c>
      <c r="L25" s="166"/>
      <c r="M25" s="160">
        <f>ROUND(+M$4/$R$4*$D25,0)</f>
        <v>0</v>
      </c>
      <c r="N25" s="166"/>
      <c r="O25" s="166"/>
      <c r="P25" s="166"/>
      <c r="Q25" s="165"/>
      <c r="R25" s="59">
        <f>SUM(E25:Q25)</f>
        <v>0</v>
      </c>
      <c r="S25" s="165"/>
      <c r="U25" s="160" t="s">
        <v>1006</v>
      </c>
    </row>
    <row r="26" spans="1:21" x14ac:dyDescent="0.25">
      <c r="A26" s="74" t="s">
        <v>505</v>
      </c>
      <c r="B26" t="s">
        <v>506</v>
      </c>
      <c r="C26" s="39">
        <f>VLOOKUP(A26,[1]Data!$R$14:$AG$570,16,FALSE)</f>
        <v>235467.2</v>
      </c>
      <c r="D26" s="39">
        <f>+C26/$C$23*12</f>
        <v>256873.30909090911</v>
      </c>
      <c r="E26" s="57">
        <f>ROUND(+E$4/$R$4*$D26,0)</f>
        <v>23799</v>
      </c>
      <c r="F26" s="57">
        <f>ROUND(+F$4/$R$4*$D26,0)</f>
        <v>4533</v>
      </c>
      <c r="G26" s="57">
        <f>ROUND(+G$4/$R$4*$D26,0)</f>
        <v>8537</v>
      </c>
      <c r="H26" s="57">
        <f>ROUND(+H$4/$R$4*$D26,0)</f>
        <v>43517</v>
      </c>
      <c r="I26" s="57"/>
      <c r="J26" s="57">
        <f>ROUND(+J$4/$R$4*$D26,0)</f>
        <v>39513</v>
      </c>
      <c r="K26" s="57">
        <f>ROUND(+K$4/$R$4*$D26,0)</f>
        <v>28634</v>
      </c>
      <c r="L26" s="57">
        <f>ROUND(+L$4/$R$4*$D26,0)</f>
        <v>15110</v>
      </c>
      <c r="M26" s="57">
        <f>ROUND(+M$4/$R$4*$D26,0)</f>
        <v>16697</v>
      </c>
      <c r="N26" s="57">
        <f>ROUND(+N$4/$R$4*$D26,0)</f>
        <v>9897</v>
      </c>
      <c r="O26" s="57">
        <f>ROUND(+O$4/$R$4*$D26,0)</f>
        <v>7555</v>
      </c>
      <c r="P26" s="57">
        <f>ROUND(+P$4/$R$4*$D26,0)</f>
        <v>9293</v>
      </c>
      <c r="Q26" s="57">
        <f>ROUND(+Q$4/$R$4*$D26,0)</f>
        <v>49788</v>
      </c>
      <c r="R26" s="59">
        <f>SUM(E26:Q26)</f>
        <v>256873</v>
      </c>
      <c r="S26" s="12"/>
    </row>
    <row r="27" spans="1:21" x14ac:dyDescent="0.25">
      <c r="A27" s="74" t="s">
        <v>507</v>
      </c>
      <c r="B27" t="s">
        <v>508</v>
      </c>
      <c r="C27" s="39">
        <f>VLOOKUP(A27,[1]Data!$R$14:$AG$570,16,FALSE)</f>
        <v>35966.519999999997</v>
      </c>
      <c r="D27" s="39">
        <f>+C27/$C$23*12</f>
        <v>39236.203636363636</v>
      </c>
      <c r="H27" s="56"/>
      <c r="I27" s="57">
        <f>+D27</f>
        <v>39236.203636363636</v>
      </c>
      <c r="Q27" s="57"/>
      <c r="R27" s="59">
        <f>SUM(E27:Q27)</f>
        <v>39236.203636363636</v>
      </c>
      <c r="S27" s="12"/>
    </row>
    <row r="28" spans="1:21" ht="15.75" x14ac:dyDescent="0.25">
      <c r="A28" s="71" t="s">
        <v>509</v>
      </c>
      <c r="S28" s="12"/>
    </row>
    <row r="29" spans="1:21" x14ac:dyDescent="0.25">
      <c r="A29" s="72" t="s">
        <v>500</v>
      </c>
      <c r="S29" s="12"/>
    </row>
    <row r="30" spans="1:21" x14ac:dyDescent="0.25">
      <c r="A30" s="73" t="s">
        <v>453</v>
      </c>
      <c r="S30" s="12"/>
    </row>
    <row r="31" spans="1:21" x14ac:dyDescent="0.25">
      <c r="A31" s="75" t="s">
        <v>510</v>
      </c>
      <c r="B31" t="s">
        <v>511</v>
      </c>
      <c r="C31" s="39">
        <f>VLOOKUP(A31,[1]Data!$R$14:$AG$570,16,FALSE)</f>
        <v>829563.78</v>
      </c>
      <c r="D31" s="39">
        <f>+C31/$C$23*12</f>
        <v>904978.66909090918</v>
      </c>
      <c r="I31" s="57">
        <f>+D31*0.5</f>
        <v>452489.33454545459</v>
      </c>
      <c r="Q31" s="34">
        <f>+D31*0.5</f>
        <v>452489.33454545459</v>
      </c>
      <c r="R31" s="59">
        <f>SUM(E31:Q31)</f>
        <v>904978.66909090918</v>
      </c>
      <c r="S31" s="12"/>
    </row>
    <row r="32" spans="1:21" s="160" customFormat="1" x14ac:dyDescent="0.25">
      <c r="A32" s="167" t="s">
        <v>512</v>
      </c>
      <c r="B32" s="160" t="s">
        <v>1007</v>
      </c>
      <c r="C32" s="161"/>
      <c r="D32" s="161">
        <f>+C32/$C$23*12</f>
        <v>0</v>
      </c>
      <c r="E32" s="162"/>
      <c r="F32" s="163">
        <f>ROUND(+F$4/$R$4*$D32,0)</f>
        <v>0</v>
      </c>
      <c r="G32" s="163">
        <f>ROUND(+G$4/$R$4*$D32,0)</f>
        <v>0</v>
      </c>
      <c r="H32" s="164"/>
      <c r="I32" s="165"/>
      <c r="J32" s="166">
        <f>ROUND(+J$4/$R$4*$D32,0)</f>
        <v>0</v>
      </c>
      <c r="K32" s="160">
        <f>ROUND(+K$4/$R$4*$D32,0)</f>
        <v>0</v>
      </c>
      <c r="L32" s="166"/>
      <c r="M32" s="160">
        <f>ROUND(+M$4/$R$4*$D32,0)</f>
        <v>0</v>
      </c>
      <c r="N32" s="166"/>
      <c r="O32" s="166"/>
      <c r="P32" s="166"/>
      <c r="Q32" s="165"/>
      <c r="R32" s="59">
        <f>SUM(E32:Q32)</f>
        <v>0</v>
      </c>
      <c r="S32" s="165"/>
      <c r="U32" s="160" t="s">
        <v>1006</v>
      </c>
    </row>
    <row r="33" spans="1:25" x14ac:dyDescent="0.25">
      <c r="A33" s="75"/>
      <c r="B33" t="s">
        <v>513</v>
      </c>
      <c r="D33" s="39">
        <v>2455536</v>
      </c>
      <c r="E33" s="57">
        <f>ROUND(+E$4/$R$4*$D33,0)</f>
        <v>227498</v>
      </c>
      <c r="F33" s="57">
        <f>ROUND(+F$4/$R$4*$D33,0)</f>
        <v>43333</v>
      </c>
      <c r="G33" s="57">
        <f>ROUND(+G$4/$R$4*$D33,0)</f>
        <v>81610</v>
      </c>
      <c r="H33" s="57">
        <f>ROUND(+H$4/$R$4*$D33,0)</f>
        <v>415997</v>
      </c>
      <c r="I33" s="57"/>
      <c r="J33" s="57">
        <f>ROUND(+J$4/$R$4*$D33,0)</f>
        <v>377719</v>
      </c>
      <c r="K33" s="57">
        <f>ROUND(+K$4/$R$4*$D33,0)</f>
        <v>273720</v>
      </c>
      <c r="L33" s="57">
        <f>ROUND(+L$4/$R$4*$D33,0)</f>
        <v>144443</v>
      </c>
      <c r="M33" s="57">
        <f>ROUND(+M$4/$R$4*$D33,0)</f>
        <v>159610</v>
      </c>
      <c r="N33" s="57">
        <f>ROUND(+N$4/$R$4*$D33,0)</f>
        <v>94610</v>
      </c>
      <c r="O33" s="57">
        <f>ROUND(+O$4/$R$4*$D33,0)</f>
        <v>72222</v>
      </c>
      <c r="P33" s="57">
        <f>ROUND(+P$4/$R$4*$D33,0)</f>
        <v>88833</v>
      </c>
      <c r="Q33" s="57">
        <f>ROUND(+Q$4/$R$4*$D33,0)</f>
        <v>475941</v>
      </c>
      <c r="R33" s="59">
        <f>SUM(E33:Q33)</f>
        <v>2455536</v>
      </c>
      <c r="S33" s="12"/>
    </row>
    <row r="34" spans="1:25" ht="15.75" x14ac:dyDescent="0.25">
      <c r="A34" s="71" t="s">
        <v>514</v>
      </c>
      <c r="S34" s="12"/>
    </row>
    <row r="35" spans="1:25" x14ac:dyDescent="0.25">
      <c r="A35" s="72" t="s">
        <v>500</v>
      </c>
      <c r="S35" s="12"/>
    </row>
    <row r="36" spans="1:25" x14ac:dyDescent="0.25">
      <c r="A36" s="73" t="s">
        <v>453</v>
      </c>
      <c r="S36" s="12"/>
    </row>
    <row r="37" spans="1:25" s="160" customFormat="1" x14ac:dyDescent="0.25">
      <c r="A37" s="159" t="s">
        <v>515</v>
      </c>
      <c r="B37" s="160" t="s">
        <v>516</v>
      </c>
      <c r="C37" s="161"/>
      <c r="D37" s="161">
        <f>+C37/$C$23*12</f>
        <v>0</v>
      </c>
      <c r="E37" s="162"/>
      <c r="F37" s="163">
        <f>ROUND(+F$4/$R$4*$D37,0)</f>
        <v>0</v>
      </c>
      <c r="G37" s="163">
        <f>ROUND(+G$4/$R$4*$D37,0)</f>
        <v>0</v>
      </c>
      <c r="H37" s="164"/>
      <c r="I37" s="165"/>
      <c r="J37" s="166">
        <f>ROUND(+J$4/$R$4*$D37,0)</f>
        <v>0</v>
      </c>
      <c r="K37" s="160">
        <f>ROUND(+K$4/$R$4*$D37,0)</f>
        <v>0</v>
      </c>
      <c r="L37" s="166"/>
      <c r="M37" s="160">
        <f>ROUND(+M$4/$R$4*$D37,0)</f>
        <v>0</v>
      </c>
      <c r="N37" s="166"/>
      <c r="O37" s="166"/>
      <c r="P37" s="166"/>
      <c r="Q37" s="165"/>
      <c r="R37" s="59">
        <f>SUM(E37:Q37)</f>
        <v>0</v>
      </c>
      <c r="S37" s="165"/>
      <c r="U37" s="160" t="s">
        <v>1006</v>
      </c>
    </row>
    <row r="38" spans="1:25" x14ac:dyDescent="0.25">
      <c r="A38" s="73" t="s">
        <v>517</v>
      </c>
      <c r="B38" t="s">
        <v>518</v>
      </c>
      <c r="C38" s="39">
        <f>VLOOKUP(A38,[1]Data!$R$14:$AG$570,16,FALSE)</f>
        <v>168487.09</v>
      </c>
      <c r="D38" s="39">
        <f>+C38/$C$23*12</f>
        <v>183804.09818181818</v>
      </c>
      <c r="E38" s="57">
        <f>ROUND(+E$4/$R$4*$D38,0)</f>
        <v>17029</v>
      </c>
      <c r="F38" s="57">
        <f>ROUND(+F$4/$R$4*$D38,0)</f>
        <v>3244</v>
      </c>
      <c r="G38" s="57">
        <f>ROUND(+G$4/$R$4*$D38,0)</f>
        <v>6109</v>
      </c>
      <c r="H38" s="57">
        <f>ROUND(+H$4/$R$4*$D38,0)</f>
        <v>31139</v>
      </c>
      <c r="I38" s="57"/>
      <c r="J38" s="57">
        <f>ROUND(+J$4/$R$4*$D38,0)</f>
        <v>28273</v>
      </c>
      <c r="K38" s="57">
        <f>ROUND(+K$4/$R$4*$D38,0)</f>
        <v>20489</v>
      </c>
      <c r="L38" s="57">
        <f>ROUND(+L$4/$R$4*$D38,0)</f>
        <v>10812</v>
      </c>
      <c r="M38" s="57">
        <f>ROUND(+M$4/$R$4*$D38,0)</f>
        <v>11947</v>
      </c>
      <c r="N38" s="57">
        <f>ROUND(+N$4/$R$4*$D38,0)</f>
        <v>7082</v>
      </c>
      <c r="O38" s="57">
        <f>ROUND(+O$4/$R$4*$D38,0)</f>
        <v>5406</v>
      </c>
      <c r="P38" s="57">
        <f>ROUND(+P$4/$R$4*$D38,0)</f>
        <v>6649</v>
      </c>
      <c r="Q38" s="57">
        <f>ROUND(+Q$4/$R$4*$D38,0)</f>
        <v>35626</v>
      </c>
      <c r="R38" s="59">
        <f>SUM(E38:Q38)</f>
        <v>183805</v>
      </c>
      <c r="S38" s="12"/>
    </row>
    <row r="39" spans="1:25" x14ac:dyDescent="0.25">
      <c r="A39" s="73" t="s">
        <v>519</v>
      </c>
      <c r="B39" t="s">
        <v>520</v>
      </c>
      <c r="C39" s="39">
        <f>VLOOKUP(A39,[1]Data!$R$14:$AG$570,16,FALSE)</f>
        <v>60307.07</v>
      </c>
      <c r="D39" s="39">
        <f>+C39/$C$23*12</f>
        <v>65789.530909090914</v>
      </c>
      <c r="I39" s="57">
        <f>+D39*0.5</f>
        <v>32894.765454545457</v>
      </c>
      <c r="Q39" s="57">
        <f>+D39*0.5</f>
        <v>32894.765454545457</v>
      </c>
      <c r="R39" s="59">
        <f>SUM(E39:Q39)</f>
        <v>65789.530909090914</v>
      </c>
      <c r="S39" s="12"/>
    </row>
    <row r="40" spans="1:25" ht="15.75" x14ac:dyDescent="0.25">
      <c r="A40" s="71" t="s">
        <v>523</v>
      </c>
      <c r="S40" s="12"/>
    </row>
    <row r="41" spans="1:25" x14ac:dyDescent="0.25">
      <c r="A41" s="72" t="s">
        <v>500</v>
      </c>
      <c r="S41" s="12"/>
    </row>
    <row r="42" spans="1:25" x14ac:dyDescent="0.25">
      <c r="A42" s="73" t="s">
        <v>453</v>
      </c>
      <c r="S42" s="12"/>
    </row>
    <row r="43" spans="1:25" s="160" customFormat="1" x14ac:dyDescent="0.25">
      <c r="A43" s="167" t="s">
        <v>524</v>
      </c>
      <c r="B43" s="160" t="s">
        <v>525</v>
      </c>
      <c r="C43" s="39">
        <f>VLOOKUP(A43,[1]Data!$R$14:$AG$570,16,FALSE)</f>
        <v>6098.23</v>
      </c>
      <c r="D43" s="161">
        <f>+C43/$C$23*12</f>
        <v>6652.6145454545458</v>
      </c>
      <c r="E43" s="169">
        <f>+$D43*E$4/$T$4</f>
        <v>603.04275735775025</v>
      </c>
      <c r="F43" s="169">
        <f>+$D43*F$4/$T$4</f>
        <v>114.86528711576194</v>
      </c>
      <c r="G43" s="169">
        <f>+$D43*G$4/$T$4</f>
        <v>216.32962406801835</v>
      </c>
      <c r="H43" s="169">
        <f>+$D43*H$4/$T$4</f>
        <v>1102.7067563113146</v>
      </c>
      <c r="I43" s="162">
        <f>+$D$43*I$4/$T$4</f>
        <v>143.58160889470244</v>
      </c>
      <c r="J43" s="169">
        <f t="shared" ref="J43:Q43" si="1">+$D43*J$4/$T$4</f>
        <v>1001.2424193590582</v>
      </c>
      <c r="K43" s="169">
        <f t="shared" si="1"/>
        <v>725.56573028122966</v>
      </c>
      <c r="L43" s="163">
        <f t="shared" si="1"/>
        <v>382.88429038587316</v>
      </c>
      <c r="M43" s="169">
        <f t="shared" si="1"/>
        <v>423.08714087638987</v>
      </c>
      <c r="N43" s="163">
        <f t="shared" si="1"/>
        <v>250.78921020274692</v>
      </c>
      <c r="O43" s="163">
        <f t="shared" si="1"/>
        <v>191.44214519293658</v>
      </c>
      <c r="P43" s="163">
        <f t="shared" si="1"/>
        <v>235.47383858731197</v>
      </c>
      <c r="Q43" s="162">
        <f t="shared" si="1"/>
        <v>1261.603736821452</v>
      </c>
      <c r="R43" s="59">
        <f>SUM(E43:Q43)</f>
        <v>6652.6145454545458</v>
      </c>
      <c r="S43" s="165"/>
      <c r="T43" s="160">
        <f>ROUND(+V$4/$R$4*$D43,0)</f>
        <v>0</v>
      </c>
      <c r="U43" s="160" t="s">
        <v>1006</v>
      </c>
      <c r="Y43" s="160" t="e">
        <f>+M43+N43+#REF!+Q43+R43+T43</f>
        <v>#REF!</v>
      </c>
    </row>
    <row r="44" spans="1:25" x14ac:dyDescent="0.25">
      <c r="A44" s="75" t="s">
        <v>526</v>
      </c>
      <c r="B44" t="s">
        <v>527</v>
      </c>
      <c r="C44" s="39">
        <f>VLOOKUP(A44,[1]Data!$R$14:$AG$570,16,FALSE)</f>
        <v>321406.92</v>
      </c>
      <c r="D44" s="39">
        <f>+C44/$C$23*12</f>
        <v>350625.7309090909</v>
      </c>
      <c r="E44" s="39">
        <f>+$D$44*E4/$R$4</f>
        <v>32484.442716577538</v>
      </c>
      <c r="F44" s="39">
        <f>+$D$44*F4/$R$4</f>
        <v>6187.512898395722</v>
      </c>
      <c r="G44" s="39">
        <f>+$D$44*G4/$R$4</f>
        <v>11653.149291978611</v>
      </c>
      <c r="H44" s="39">
        <f>+$D$44*H4/$R$4</f>
        <v>59400.12382459893</v>
      </c>
      <c r="I44" s="57"/>
      <c r="J44" s="39">
        <f t="shared" ref="J44:Q44" si="2">+$D$44*J4/$R$4</f>
        <v>53934.487431016038</v>
      </c>
      <c r="K44" s="39">
        <f t="shared" si="2"/>
        <v>39084.456474866311</v>
      </c>
      <c r="L44" s="39">
        <f t="shared" si="2"/>
        <v>20625.042994652402</v>
      </c>
      <c r="M44" s="39">
        <f t="shared" si="2"/>
        <v>22790.672509090909</v>
      </c>
      <c r="N44" s="39">
        <f t="shared" si="2"/>
        <v>13509.403161497326</v>
      </c>
      <c r="O44" s="39">
        <f t="shared" si="2"/>
        <v>10312.521497326201</v>
      </c>
      <c r="P44" s="39">
        <f t="shared" si="2"/>
        <v>12684.401441711228</v>
      </c>
      <c r="Q44" s="39">
        <f t="shared" si="2"/>
        <v>67959.516667379678</v>
      </c>
      <c r="R44" s="59">
        <f>SUM(E44:Q44)</f>
        <v>350625.73090909095</v>
      </c>
      <c r="S44" s="12"/>
    </row>
    <row r="45" spans="1:25" x14ac:dyDescent="0.25">
      <c r="A45" s="75" t="s">
        <v>528</v>
      </c>
      <c r="B45" t="s">
        <v>529</v>
      </c>
      <c r="C45" s="39">
        <f>VLOOKUP(A45,[1]Data!$R$14:$AG$570,16,FALSE)</f>
        <v>9044.25</v>
      </c>
      <c r="D45" s="39">
        <f>+C45/$C$23*12</f>
        <v>9866.454545454546</v>
      </c>
      <c r="E45" s="39"/>
      <c r="F45" s="50"/>
      <c r="G45" s="50"/>
      <c r="H45" s="56"/>
      <c r="I45" s="57">
        <f>+D45*0.5</f>
        <v>4933.227272727273</v>
      </c>
      <c r="J45" s="50"/>
      <c r="K45" s="39"/>
      <c r="L45" s="50"/>
      <c r="M45" s="39"/>
      <c r="N45" s="50"/>
      <c r="O45" s="50"/>
      <c r="P45" s="50"/>
      <c r="Q45" s="57">
        <f>+D45*0.5</f>
        <v>4933.227272727273</v>
      </c>
      <c r="R45" s="59">
        <f>SUM(E45:Q45)</f>
        <v>9866.454545454546</v>
      </c>
      <c r="S45" s="12"/>
    </row>
    <row r="46" spans="1:25" ht="15.75" x14ac:dyDescent="0.25">
      <c r="A46" s="76"/>
      <c r="E46" s="92">
        <f>SUM(E20:E45)</f>
        <v>301413.48547393532</v>
      </c>
      <c r="F46" s="94">
        <f t="shared" ref="F46" si="3">SUM(F20:F45)</f>
        <v>57412.378185511479</v>
      </c>
      <c r="G46" s="94">
        <f t="shared" ref="G46:Q46" si="4">SUM(G20:G45)</f>
        <v>108125.47891604663</v>
      </c>
      <c r="H46" s="92">
        <f>SUM(H20:H45)</f>
        <v>551155.8305809102</v>
      </c>
      <c r="I46" s="95">
        <f t="shared" si="4"/>
        <v>529697.11251798575</v>
      </c>
      <c r="J46" s="94">
        <f t="shared" si="4"/>
        <v>500440.72985037509</v>
      </c>
      <c r="K46" s="93">
        <f t="shared" si="4"/>
        <v>362653.02220514754</v>
      </c>
      <c r="L46" s="94">
        <f t="shared" si="4"/>
        <v>191372.92728503828</v>
      </c>
      <c r="M46" s="93">
        <f t="shared" si="4"/>
        <v>211467.75964996731</v>
      </c>
      <c r="N46" s="94">
        <f t="shared" si="4"/>
        <v>125349.19237170006</v>
      </c>
      <c r="O46" s="94">
        <f t="shared" ref="O46" si="5">SUM(O20:O45)</f>
        <v>95686.963642519142</v>
      </c>
      <c r="P46" s="94">
        <f t="shared" si="4"/>
        <v>117694.87528029854</v>
      </c>
      <c r="Q46" s="95">
        <f t="shared" si="4"/>
        <v>1120893.4476769285</v>
      </c>
      <c r="R46" s="93">
        <f>SUM(R20:R45)</f>
        <v>4273363.2036363641</v>
      </c>
      <c r="S46" s="12"/>
    </row>
    <row r="47" spans="1:25" ht="15.75" x14ac:dyDescent="0.25">
      <c r="A47" s="76"/>
      <c r="S47" s="12"/>
    </row>
    <row r="48" spans="1:25" ht="15.75" x14ac:dyDescent="0.25">
      <c r="A48" s="70" t="s">
        <v>530</v>
      </c>
      <c r="S48" s="12"/>
    </row>
    <row r="49" spans="1:19" ht="15.75" x14ac:dyDescent="0.25">
      <c r="A49" s="70"/>
      <c r="S49" s="12"/>
    </row>
    <row r="50" spans="1:19" ht="15.75" x14ac:dyDescent="0.25">
      <c r="A50" s="71" t="s">
        <v>531</v>
      </c>
      <c r="S50" s="12"/>
    </row>
    <row r="51" spans="1:19" x14ac:dyDescent="0.25">
      <c r="A51" s="72" t="s">
        <v>500</v>
      </c>
      <c r="S51" s="12"/>
    </row>
    <row r="52" spans="1:19" x14ac:dyDescent="0.25">
      <c r="A52" s="73" t="s">
        <v>453</v>
      </c>
      <c r="S52" s="12"/>
    </row>
    <row r="53" spans="1:19" x14ac:dyDescent="0.25">
      <c r="A53" s="75" t="s">
        <v>532</v>
      </c>
      <c r="B53" t="s">
        <v>533</v>
      </c>
      <c r="C53" s="39">
        <f>VLOOKUP(A53,[1]Data!$R$14:$AG$570,16,FALSE)</f>
        <v>59693.85</v>
      </c>
      <c r="D53" s="39">
        <f>+C53/$C$23*12</f>
        <v>65120.563636363637</v>
      </c>
      <c r="E53" s="39">
        <f>+$D53*E$4/$R$4</f>
        <v>6033.2286898395723</v>
      </c>
      <c r="F53" s="39">
        <f>+$D53*F$4/$R$4</f>
        <v>1149.1864171122995</v>
      </c>
      <c r="G53" s="39">
        <f>+$D53*G$4/$R$4</f>
        <v>2164.3010855614975</v>
      </c>
      <c r="H53" s="39">
        <f>+$D53*H$4/$R$4</f>
        <v>11032.189604278075</v>
      </c>
      <c r="I53" s="57">
        <f>+$D$43*I$4/$T$4</f>
        <v>143.58160889470244</v>
      </c>
      <c r="J53" s="39">
        <f t="shared" ref="J53:Q53" si="6">+$D53*J$4/$R$4</f>
        <v>10017.074935828878</v>
      </c>
      <c r="K53" s="39">
        <f t="shared" si="6"/>
        <v>7259.0275347593579</v>
      </c>
      <c r="L53" s="39">
        <f t="shared" si="6"/>
        <v>3830.6213903743314</v>
      </c>
      <c r="M53" s="39">
        <f t="shared" si="6"/>
        <v>4232.8366363636369</v>
      </c>
      <c r="N53" s="39">
        <f t="shared" si="6"/>
        <v>2509.0570106951873</v>
      </c>
      <c r="O53" s="39">
        <f t="shared" si="6"/>
        <v>1915.3106951871657</v>
      </c>
      <c r="P53" s="39">
        <f t="shared" si="6"/>
        <v>2355.8321550802139</v>
      </c>
      <c r="Q53" s="39">
        <f t="shared" si="6"/>
        <v>12621.897481283422</v>
      </c>
      <c r="R53" s="59">
        <f>SUM(E53:Q53)</f>
        <v>65264.14524525834</v>
      </c>
      <c r="S53" s="12"/>
    </row>
    <row r="54" spans="1:19" ht="15.75" x14ac:dyDescent="0.25">
      <c r="A54" s="70"/>
      <c r="S54" s="12"/>
    </row>
    <row r="55" spans="1:19" ht="15.75" x14ac:dyDescent="0.25">
      <c r="A55" s="71" t="s">
        <v>560</v>
      </c>
      <c r="S55" s="12"/>
    </row>
    <row r="56" spans="1:19" x14ac:dyDescent="0.25">
      <c r="A56" s="72" t="s">
        <v>500</v>
      </c>
      <c r="E56" s="40"/>
      <c r="F56" s="132"/>
      <c r="G56" s="132"/>
      <c r="H56" s="131"/>
      <c r="I56" s="133"/>
      <c r="J56" s="132"/>
      <c r="K56" s="40"/>
      <c r="L56" s="132"/>
      <c r="M56" s="40"/>
      <c r="N56" s="132"/>
      <c r="O56" s="132"/>
      <c r="P56" s="132"/>
      <c r="Q56" s="133"/>
      <c r="R56" s="173"/>
      <c r="S56" s="133"/>
    </row>
    <row r="57" spans="1:19" x14ac:dyDescent="0.25">
      <c r="A57" s="73" t="s">
        <v>453</v>
      </c>
      <c r="E57" s="40"/>
      <c r="F57" s="132"/>
      <c r="G57" s="132"/>
      <c r="H57" s="131"/>
      <c r="I57" s="133"/>
      <c r="J57" s="132"/>
      <c r="K57" s="40"/>
      <c r="L57" s="132"/>
      <c r="M57" s="40"/>
      <c r="N57" s="132"/>
      <c r="O57" s="132"/>
      <c r="P57" s="132"/>
      <c r="Q57" s="133"/>
      <c r="R57" s="173">
        <f>SUM(E57:Q57)</f>
        <v>0</v>
      </c>
      <c r="S57" s="133"/>
    </row>
    <row r="58" spans="1:19" x14ac:dyDescent="0.25">
      <c r="A58" s="75" t="s">
        <v>561</v>
      </c>
      <c r="B58" t="s">
        <v>562</v>
      </c>
      <c r="C58" s="39">
        <f>VLOOKUP(A58,[1]Data!$R$14:$AG$570,16,FALSE)</f>
        <v>688</v>
      </c>
      <c r="D58" s="39">
        <f>+C58/$C$23*12</f>
        <v>750.5454545454545</v>
      </c>
      <c r="E58" s="40"/>
      <c r="F58" s="132"/>
      <c r="G58" s="132"/>
      <c r="H58" s="131"/>
      <c r="I58" s="133">
        <f>+D58/2</f>
        <v>375.27272727272725</v>
      </c>
      <c r="J58" s="132"/>
      <c r="K58" s="40"/>
      <c r="L58" s="132"/>
      <c r="M58" s="40"/>
      <c r="N58" s="132"/>
      <c r="O58" s="132"/>
      <c r="P58" s="132"/>
      <c r="Q58" s="133">
        <f>+I58</f>
        <v>375.27272727272725</v>
      </c>
      <c r="R58" s="173">
        <f>SUM(E58:Q58)</f>
        <v>750.5454545454545</v>
      </c>
      <c r="S58" s="133"/>
    </row>
    <row r="59" spans="1:19" x14ac:dyDescent="0.25">
      <c r="A59" s="75" t="s">
        <v>563</v>
      </c>
      <c r="B59" t="s">
        <v>564</v>
      </c>
      <c r="C59" s="39">
        <v>9298.2999999999993</v>
      </c>
      <c r="D59" s="39">
        <f>+C59/$C$23*12</f>
        <v>10143.599999999999</v>
      </c>
      <c r="E59" s="40">
        <f>+$D$59*E4/$R$4</f>
        <v>939.77470588235281</v>
      </c>
      <c r="F59" s="40">
        <f>+$D$59*F4/$R$4</f>
        <v>179.00470588235291</v>
      </c>
      <c r="G59" s="40">
        <f>+$D$59*G4/$R$4</f>
        <v>337.12552941176466</v>
      </c>
      <c r="H59" s="40">
        <f>+$D$59*H4/$R$4</f>
        <v>1718.4451764705882</v>
      </c>
      <c r="I59" s="133"/>
      <c r="J59" s="40">
        <f t="shared" ref="J59:Q59" si="7">+$D$59*J4/$R$4</f>
        <v>1560.3243529411761</v>
      </c>
      <c r="K59" s="40">
        <f t="shared" si="7"/>
        <v>1130.7130588235293</v>
      </c>
      <c r="L59" s="40">
        <f t="shared" si="7"/>
        <v>596.68235294117642</v>
      </c>
      <c r="M59" s="40">
        <f t="shared" si="7"/>
        <v>659.33399999999995</v>
      </c>
      <c r="N59" s="40">
        <f t="shared" si="7"/>
        <v>390.82694117647054</v>
      </c>
      <c r="O59" s="40">
        <f t="shared" si="7"/>
        <v>298.34117647058821</v>
      </c>
      <c r="P59" s="40">
        <f t="shared" si="7"/>
        <v>366.95964705882346</v>
      </c>
      <c r="Q59" s="40">
        <f t="shared" si="7"/>
        <v>1966.0683529411763</v>
      </c>
      <c r="R59" s="173">
        <f>SUM(E59:Q59)</f>
        <v>10143.599999999999</v>
      </c>
      <c r="S59" s="133"/>
    </row>
    <row r="60" spans="1:19" s="65" customFormat="1" x14ac:dyDescent="0.25">
      <c r="A60" s="77"/>
      <c r="C60" s="66"/>
      <c r="D60" s="66"/>
      <c r="E60" s="134"/>
      <c r="F60" s="135"/>
      <c r="G60" s="135"/>
      <c r="H60" s="134"/>
      <c r="I60" s="136"/>
      <c r="J60" s="135"/>
      <c r="K60" s="134"/>
      <c r="L60" s="135"/>
      <c r="M60" s="134"/>
      <c r="N60" s="135"/>
      <c r="O60" s="135"/>
      <c r="P60" s="135"/>
      <c r="Q60" s="134"/>
      <c r="R60" s="173"/>
      <c r="S60" s="136"/>
    </row>
    <row r="61" spans="1:19" ht="15.75" x14ac:dyDescent="0.25">
      <c r="A61" s="71" t="s">
        <v>568</v>
      </c>
      <c r="S61" s="12"/>
    </row>
    <row r="62" spans="1:19" x14ac:dyDescent="0.25">
      <c r="A62" s="72" t="s">
        <v>500</v>
      </c>
      <c r="S62" s="12"/>
    </row>
    <row r="63" spans="1:19" x14ac:dyDescent="0.25">
      <c r="A63" s="73" t="s">
        <v>453</v>
      </c>
      <c r="S63" s="12"/>
    </row>
    <row r="64" spans="1:19" x14ac:dyDescent="0.25">
      <c r="A64" s="73" t="s">
        <v>569</v>
      </c>
      <c r="B64" t="s">
        <v>570</v>
      </c>
      <c r="C64" s="39">
        <f>VLOOKUP(A64,[1]Data!$R$14:$AG$570,16,FALSE)</f>
        <v>0</v>
      </c>
      <c r="D64" s="39">
        <f>+C64/$C$23*12</f>
        <v>0</v>
      </c>
      <c r="R64" s="59">
        <f>SUM(E64:Q64)</f>
        <v>0</v>
      </c>
      <c r="S64" s="12"/>
    </row>
    <row r="65" spans="1:20" x14ac:dyDescent="0.25">
      <c r="A65" s="73" t="s">
        <v>571</v>
      </c>
      <c r="B65" t="s">
        <v>572</v>
      </c>
      <c r="C65" s="39">
        <f>VLOOKUP(A65,[1]Data!$R$14:$AG$570,16,FALSE)</f>
        <v>125723.26</v>
      </c>
      <c r="D65" s="39">
        <f>+C65/$C$23*12</f>
        <v>137152.64727272728</v>
      </c>
      <c r="E65" s="39">
        <f>+$D$65*E4/$R$4</f>
        <v>12706.789379679145</v>
      </c>
      <c r="F65" s="39">
        <f>+$D$65*F4/$R$4</f>
        <v>2420.3408342245989</v>
      </c>
      <c r="G65" s="39">
        <f>+$D$65*G4/$R$4</f>
        <v>4558.3085711229951</v>
      </c>
      <c r="H65" s="39">
        <f>+$D$65*H4/$R$4</f>
        <v>23235.272008556149</v>
      </c>
      <c r="J65" s="39">
        <f t="shared" ref="J65:Q65" si="8">+$D$65*J4/$R$4</f>
        <v>21097.304271657755</v>
      </c>
      <c r="K65" s="39">
        <f t="shared" si="8"/>
        <v>15288.486269518718</v>
      </c>
      <c r="L65" s="39">
        <f t="shared" si="8"/>
        <v>8067.8027807486642</v>
      </c>
      <c r="M65" s="39">
        <f t="shared" si="8"/>
        <v>8914.9220727272732</v>
      </c>
      <c r="N65" s="39">
        <f t="shared" si="8"/>
        <v>5284.4108213903746</v>
      </c>
      <c r="O65" s="39">
        <f t="shared" si="8"/>
        <v>4033.9013903743321</v>
      </c>
      <c r="P65" s="39">
        <f t="shared" si="8"/>
        <v>4961.6987101604273</v>
      </c>
      <c r="Q65" s="39">
        <f t="shared" si="8"/>
        <v>26583.410162566848</v>
      </c>
      <c r="R65" s="59">
        <f>SUM(E65:Q65)</f>
        <v>137152.64727272728</v>
      </c>
      <c r="S65" s="12"/>
    </row>
    <row r="66" spans="1:20" x14ac:dyDescent="0.25">
      <c r="A66" s="73" t="s">
        <v>573</v>
      </c>
      <c r="B66" t="s">
        <v>574</v>
      </c>
      <c r="C66" s="39">
        <f>VLOOKUP(A66,[1]Data!$R$14:$AG$570,16,FALSE)</f>
        <v>0</v>
      </c>
      <c r="D66" s="39">
        <f>+C66/$C$23*12</f>
        <v>0</v>
      </c>
      <c r="L66" s="37"/>
      <c r="N66" s="37"/>
      <c r="O66" s="37"/>
      <c r="P66" s="37"/>
      <c r="R66" s="59">
        <f>SUM(E66:Q66)</f>
        <v>0</v>
      </c>
      <c r="S66" s="12"/>
    </row>
    <row r="67" spans="1:20" s="65" customFormat="1" x14ac:dyDescent="0.25">
      <c r="A67" s="90"/>
      <c r="C67" s="66"/>
      <c r="D67" s="66"/>
      <c r="E67" s="93">
        <f t="shared" ref="E67:R67" si="9">SUM(E53:E66)</f>
        <v>19679.792775401071</v>
      </c>
      <c r="F67" s="93">
        <f t="shared" si="9"/>
        <v>3748.5319572192511</v>
      </c>
      <c r="G67" s="93">
        <f t="shared" si="9"/>
        <v>7059.7351860962572</v>
      </c>
      <c r="H67" s="93">
        <f t="shared" si="9"/>
        <v>35985.906789304812</v>
      </c>
      <c r="I67" s="93">
        <f t="shared" si="9"/>
        <v>518.85433616742966</v>
      </c>
      <c r="J67" s="93">
        <f t="shared" si="9"/>
        <v>32674.703560427806</v>
      </c>
      <c r="K67" s="93">
        <f t="shared" si="9"/>
        <v>23678.226863101605</v>
      </c>
      <c r="L67" s="93">
        <f t="shared" si="9"/>
        <v>12495.106524064173</v>
      </c>
      <c r="M67" s="93">
        <f t="shared" si="9"/>
        <v>13807.09270909091</v>
      </c>
      <c r="N67" s="93">
        <f t="shared" si="9"/>
        <v>8184.2947732620323</v>
      </c>
      <c r="O67" s="93">
        <f t="shared" si="9"/>
        <v>6247.5532620320864</v>
      </c>
      <c r="P67" s="93">
        <f t="shared" si="9"/>
        <v>7684.4905122994642</v>
      </c>
      <c r="Q67" s="93">
        <f t="shared" si="9"/>
        <v>41546.648724064173</v>
      </c>
      <c r="R67" s="93">
        <f t="shared" si="9"/>
        <v>213310.93797253107</v>
      </c>
      <c r="S67" s="91"/>
    </row>
    <row r="68" spans="1:20" s="65" customFormat="1" x14ac:dyDescent="0.25">
      <c r="A68" s="90"/>
      <c r="C68" s="66"/>
      <c r="D68" s="66"/>
      <c r="E68" s="66"/>
      <c r="H68" s="66"/>
      <c r="L68" s="66"/>
      <c r="N68" s="66"/>
      <c r="O68" s="66"/>
      <c r="P68" s="66"/>
      <c r="Q68" s="66"/>
      <c r="R68" s="59"/>
    </row>
    <row r="69" spans="1:20" s="65" customFormat="1" x14ac:dyDescent="0.25">
      <c r="A69" s="90"/>
      <c r="C69" s="66"/>
      <c r="D69" s="66"/>
      <c r="E69" s="66"/>
      <c r="H69" s="66"/>
      <c r="L69" s="66"/>
      <c r="N69" s="66"/>
      <c r="O69" s="66"/>
      <c r="P69" s="66"/>
      <c r="Q69" s="66"/>
      <c r="R69" s="59"/>
    </row>
    <row r="70" spans="1:20" s="65" customFormat="1" x14ac:dyDescent="0.25">
      <c r="A70" s="90"/>
      <c r="C70" s="66"/>
      <c r="D70" s="66"/>
      <c r="E70" s="66"/>
      <c r="H70" s="66"/>
      <c r="L70" s="66"/>
      <c r="N70" s="66"/>
      <c r="O70" s="66"/>
      <c r="P70" s="66"/>
      <c r="Q70" s="66"/>
      <c r="R70" s="59"/>
    </row>
    <row r="71" spans="1:20" s="65" customFormat="1" x14ac:dyDescent="0.25">
      <c r="A71" s="90"/>
      <c r="C71" s="66"/>
      <c r="D71" s="66"/>
      <c r="E71" s="66"/>
      <c r="H71" s="66"/>
      <c r="L71" s="66"/>
      <c r="N71" s="66"/>
      <c r="O71" s="66"/>
      <c r="P71" s="66"/>
      <c r="Q71" s="66"/>
      <c r="R71" s="59"/>
    </row>
    <row r="72" spans="1:20" s="65" customFormat="1" x14ac:dyDescent="0.25">
      <c r="A72" s="90"/>
      <c r="C72" s="66"/>
      <c r="D72" s="66"/>
      <c r="E72" s="66"/>
      <c r="H72" s="66"/>
      <c r="L72" s="66"/>
      <c r="N72" s="66"/>
      <c r="O72" s="66"/>
      <c r="P72" s="66"/>
      <c r="Q72" s="66"/>
      <c r="R72" s="59"/>
    </row>
    <row r="73" spans="1:20" ht="18.75" x14ac:dyDescent="0.3">
      <c r="A73" s="64" t="s">
        <v>601</v>
      </c>
      <c r="D73" s="39" t="s">
        <v>407</v>
      </c>
      <c r="F73"/>
      <c r="G73"/>
      <c r="H73"/>
      <c r="I73"/>
      <c r="J73"/>
      <c r="L73"/>
      <c r="N73"/>
      <c r="O73"/>
      <c r="P73"/>
      <c r="Q73"/>
      <c r="S73"/>
    </row>
    <row r="74" spans="1:20" ht="18.75" x14ac:dyDescent="0.3">
      <c r="A74" s="67"/>
      <c r="B74" s="9"/>
      <c r="C74" s="68"/>
      <c r="D74" s="68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3"/>
      <c r="S74" s="9"/>
      <c r="T74" s="10"/>
    </row>
    <row r="75" spans="1:20" ht="15.75" x14ac:dyDescent="0.25">
      <c r="A75" s="70" t="s">
        <v>498</v>
      </c>
      <c r="F75"/>
      <c r="G75"/>
      <c r="H75"/>
      <c r="I75"/>
      <c r="J75"/>
      <c r="L75"/>
      <c r="N75"/>
      <c r="O75"/>
      <c r="P75"/>
      <c r="Q75"/>
      <c r="S75"/>
      <c r="T75" s="12"/>
    </row>
    <row r="76" spans="1:20" ht="15.75" x14ac:dyDescent="0.25">
      <c r="A76" s="71" t="s">
        <v>1052</v>
      </c>
      <c r="F76"/>
      <c r="G76"/>
      <c r="H76"/>
      <c r="I76"/>
      <c r="J76"/>
      <c r="L76"/>
      <c r="N76"/>
      <c r="O76"/>
      <c r="P76"/>
      <c r="Q76"/>
      <c r="S76"/>
      <c r="T76" s="12"/>
    </row>
    <row r="77" spans="1:20" x14ac:dyDescent="0.25">
      <c r="A77" s="72" t="s">
        <v>500</v>
      </c>
      <c r="F77"/>
      <c r="G77"/>
      <c r="H77"/>
      <c r="I77"/>
      <c r="J77"/>
      <c r="L77"/>
      <c r="N77"/>
      <c r="O77"/>
      <c r="P77"/>
      <c r="Q77"/>
      <c r="S77"/>
      <c r="T77" s="12"/>
    </row>
    <row r="78" spans="1:20" x14ac:dyDescent="0.25">
      <c r="A78" s="73" t="s">
        <v>453</v>
      </c>
      <c r="F78"/>
      <c r="G78"/>
      <c r="H78"/>
      <c r="I78"/>
      <c r="J78"/>
      <c r="L78"/>
      <c r="N78"/>
      <c r="O78"/>
      <c r="P78"/>
      <c r="Q78"/>
      <c r="S78"/>
      <c r="T78" s="12"/>
    </row>
    <row r="79" spans="1:20" x14ac:dyDescent="0.25">
      <c r="A79" s="75" t="s">
        <v>521</v>
      </c>
      <c r="B79" t="s">
        <v>522</v>
      </c>
      <c r="C79" s="39">
        <f>VLOOKUP(A79,[1]Data!$R$14:$AG$570,16,FALSE)</f>
        <v>994914.7</v>
      </c>
      <c r="D79" s="39">
        <f>+C79/$C$23*12</f>
        <v>1085361.490909091</v>
      </c>
      <c r="E79" s="39">
        <f>+$D79*E$11</f>
        <v>151950.60872727275</v>
      </c>
      <c r="F79" s="39">
        <f t="shared" ref="F79:Q79" si="10">+$D79*F$11</f>
        <v>32560.844727272728</v>
      </c>
      <c r="G79" s="39">
        <f t="shared" si="10"/>
        <v>314754.83236363635</v>
      </c>
      <c r="H79" s="39">
        <f t="shared" si="10"/>
        <v>10853.614909090909</v>
      </c>
      <c r="I79" s="39">
        <f t="shared" si="10"/>
        <v>5426.8074545454547</v>
      </c>
      <c r="J79" s="39">
        <f t="shared" si="10"/>
        <v>21707.229818181819</v>
      </c>
      <c r="K79" s="39">
        <f t="shared" si="10"/>
        <v>119389.76400000001</v>
      </c>
      <c r="L79" s="39">
        <f t="shared" si="10"/>
        <v>217072.29818181822</v>
      </c>
      <c r="M79" s="39">
        <f t="shared" si="10"/>
        <v>130243.37890909091</v>
      </c>
      <c r="N79" s="39">
        <f t="shared" si="10"/>
        <v>10853.614909090909</v>
      </c>
      <c r="O79" s="39">
        <f t="shared" si="10"/>
        <v>32560.844727272728</v>
      </c>
      <c r="P79" s="39">
        <f t="shared" si="10"/>
        <v>21707.229818181819</v>
      </c>
      <c r="Q79" s="39">
        <f t="shared" ca="1" si="10"/>
        <v>23956.490491655117</v>
      </c>
      <c r="R79" s="59">
        <f ca="1">SUM(E79:Q79)</f>
        <v>1093037.5590371096</v>
      </c>
      <c r="S79"/>
      <c r="T79" s="12"/>
    </row>
    <row r="80" spans="1:20" ht="15.75" x14ac:dyDescent="0.25">
      <c r="A80" s="71"/>
      <c r="F80"/>
      <c r="G80"/>
      <c r="H80"/>
      <c r="I80"/>
      <c r="J80"/>
      <c r="L80"/>
      <c r="N80"/>
      <c r="O80"/>
      <c r="P80"/>
      <c r="Q80"/>
      <c r="S80"/>
      <c r="T80" s="12"/>
    </row>
    <row r="81" spans="1:20" ht="15.75" x14ac:dyDescent="0.25">
      <c r="A81" s="71"/>
      <c r="E81" s="59">
        <f t="shared" ref="E81:Q81" si="11">SUM(E79:E80)</f>
        <v>151950.60872727275</v>
      </c>
      <c r="F81" s="59">
        <f t="shared" ref="F81" si="12">SUM(F79:F80)</f>
        <v>32560.844727272728</v>
      </c>
      <c r="G81" s="59">
        <f t="shared" si="11"/>
        <v>314754.83236363635</v>
      </c>
      <c r="H81" s="59">
        <f>SUM(H79:H80)</f>
        <v>10853.614909090909</v>
      </c>
      <c r="I81" s="59">
        <f t="shared" si="11"/>
        <v>5426.8074545454547</v>
      </c>
      <c r="J81" s="59">
        <f t="shared" si="11"/>
        <v>21707.229818181819</v>
      </c>
      <c r="K81" s="59">
        <f t="shared" si="11"/>
        <v>119389.76400000001</v>
      </c>
      <c r="L81" s="59">
        <f t="shared" si="11"/>
        <v>217072.29818181822</v>
      </c>
      <c r="M81" s="59">
        <f t="shared" si="11"/>
        <v>130243.37890909091</v>
      </c>
      <c r="N81" s="59">
        <f t="shared" si="11"/>
        <v>10853.614909090909</v>
      </c>
      <c r="O81" s="59">
        <f t="shared" ref="O81" si="13">SUM(O79:O80)</f>
        <v>32560.844727272728</v>
      </c>
      <c r="P81" s="59">
        <f t="shared" si="11"/>
        <v>21707.229818181819</v>
      </c>
      <c r="Q81" s="59">
        <f t="shared" ca="1" si="11"/>
        <v>23956.490491655117</v>
      </c>
      <c r="S81"/>
      <c r="T81" s="12"/>
    </row>
    <row r="82" spans="1:20" ht="15.75" x14ac:dyDescent="0.25">
      <c r="A82" s="70" t="s">
        <v>530</v>
      </c>
      <c r="F82"/>
      <c r="G82"/>
      <c r="H82"/>
      <c r="I82"/>
      <c r="J82"/>
      <c r="L82"/>
      <c r="N82"/>
      <c r="O82"/>
      <c r="P82"/>
      <c r="Q82"/>
      <c r="S82"/>
      <c r="T82" s="12"/>
    </row>
    <row r="83" spans="1:20" ht="15.75" x14ac:dyDescent="0.25">
      <c r="A83" s="70"/>
      <c r="F83"/>
      <c r="G83"/>
      <c r="H83"/>
      <c r="I83"/>
      <c r="J83"/>
      <c r="L83"/>
      <c r="N83"/>
      <c r="O83"/>
      <c r="P83"/>
      <c r="Q83"/>
      <c r="S83"/>
      <c r="T83" s="12"/>
    </row>
    <row r="84" spans="1:20" ht="15.75" x14ac:dyDescent="0.25">
      <c r="A84" s="71" t="s">
        <v>588</v>
      </c>
      <c r="F84"/>
      <c r="G84"/>
      <c r="H84"/>
      <c r="I84"/>
      <c r="J84"/>
      <c r="L84"/>
      <c r="N84"/>
      <c r="O84"/>
      <c r="P84"/>
      <c r="Q84"/>
      <c r="S84"/>
      <c r="T84" s="12"/>
    </row>
    <row r="85" spans="1:20" ht="15.75" x14ac:dyDescent="0.25">
      <c r="A85" s="71"/>
      <c r="F85"/>
      <c r="G85"/>
      <c r="H85"/>
      <c r="I85"/>
      <c r="J85"/>
      <c r="L85"/>
      <c r="N85"/>
      <c r="O85"/>
      <c r="P85"/>
      <c r="Q85"/>
      <c r="S85"/>
      <c r="T85" s="12"/>
    </row>
    <row r="86" spans="1:20" ht="15.75" x14ac:dyDescent="0.25">
      <c r="A86" s="71" t="s">
        <v>589</v>
      </c>
      <c r="F86"/>
      <c r="G86"/>
      <c r="H86"/>
      <c r="I86"/>
      <c r="J86"/>
      <c r="L86"/>
      <c r="N86"/>
      <c r="O86"/>
      <c r="P86"/>
      <c r="Q86"/>
      <c r="S86"/>
      <c r="T86" s="12"/>
    </row>
    <row r="87" spans="1:20" x14ac:dyDescent="0.25">
      <c r="A87" s="72" t="s">
        <v>500</v>
      </c>
      <c r="F87"/>
      <c r="G87"/>
      <c r="H87"/>
      <c r="I87"/>
      <c r="J87"/>
      <c r="L87"/>
      <c r="N87"/>
      <c r="O87"/>
      <c r="P87"/>
      <c r="Q87"/>
      <c r="S87"/>
      <c r="T87" s="12"/>
    </row>
    <row r="88" spans="1:20" x14ac:dyDescent="0.25">
      <c r="A88" s="73" t="s">
        <v>453</v>
      </c>
      <c r="F88"/>
      <c r="G88"/>
      <c r="H88"/>
      <c r="I88"/>
      <c r="J88"/>
      <c r="L88"/>
      <c r="N88"/>
      <c r="O88"/>
      <c r="P88"/>
      <c r="Q88"/>
      <c r="S88"/>
      <c r="T88" s="12"/>
    </row>
    <row r="89" spans="1:20" x14ac:dyDescent="0.25">
      <c r="A89" s="73" t="s">
        <v>590</v>
      </c>
      <c r="B89" t="s">
        <v>591</v>
      </c>
      <c r="C89" s="39">
        <f>VLOOKUP(A89,[1]Data!$R$14:$AG$570,16,FALSE)</f>
        <v>41415.14</v>
      </c>
      <c r="D89" s="39">
        <f>+C89/$C$23*12</f>
        <v>45180.152727272725</v>
      </c>
      <c r="F89"/>
      <c r="G89"/>
      <c r="H89"/>
      <c r="I89"/>
      <c r="J89"/>
      <c r="L89"/>
      <c r="N89"/>
      <c r="O89"/>
      <c r="P89"/>
      <c r="Q89"/>
      <c r="S89"/>
      <c r="T89" s="12"/>
    </row>
    <row r="90" spans="1:20" x14ac:dyDescent="0.25">
      <c r="A90" s="75" t="s">
        <v>592</v>
      </c>
      <c r="B90" t="s">
        <v>593</v>
      </c>
      <c r="C90" s="39">
        <f>VLOOKUP(A90,[1]Data!$R$14:$AG$570,16,FALSE)</f>
        <v>30176.11</v>
      </c>
      <c r="D90" s="39">
        <f>+C90/$C$23*12</f>
        <v>32919.392727272731</v>
      </c>
      <c r="F90"/>
      <c r="G90"/>
      <c r="H90"/>
      <c r="I90"/>
      <c r="J90"/>
      <c r="L90"/>
      <c r="N90"/>
      <c r="O90"/>
      <c r="P90"/>
      <c r="Q90"/>
      <c r="S90"/>
      <c r="T90" s="12"/>
    </row>
    <row r="91" spans="1:20" ht="15.75" x14ac:dyDescent="0.25">
      <c r="A91" s="71" t="s">
        <v>1385</v>
      </c>
      <c r="F91"/>
      <c r="G91"/>
      <c r="H91"/>
      <c r="I91"/>
      <c r="J91"/>
      <c r="L91"/>
      <c r="N91"/>
      <c r="O91"/>
      <c r="P91"/>
      <c r="Q91"/>
      <c r="S91"/>
      <c r="T91" s="12"/>
    </row>
    <row r="92" spans="1:20" x14ac:dyDescent="0.25">
      <c r="A92" s="72" t="s">
        <v>500</v>
      </c>
      <c r="F92"/>
      <c r="G92"/>
      <c r="H92"/>
      <c r="I92"/>
      <c r="J92"/>
      <c r="L92"/>
      <c r="N92"/>
      <c r="O92"/>
      <c r="P92"/>
      <c r="Q92"/>
      <c r="S92"/>
      <c r="T92" s="12"/>
    </row>
    <row r="93" spans="1:20" x14ac:dyDescent="0.25">
      <c r="A93" s="73" t="s">
        <v>407</v>
      </c>
      <c r="F93"/>
      <c r="G93"/>
      <c r="H93"/>
      <c r="I93"/>
      <c r="J93"/>
      <c r="L93"/>
      <c r="N93"/>
      <c r="O93"/>
      <c r="P93"/>
      <c r="Q93"/>
      <c r="S93"/>
      <c r="T93" s="12"/>
    </row>
    <row r="94" spans="1:20" s="160" customFormat="1" x14ac:dyDescent="0.25">
      <c r="A94" s="167" t="s">
        <v>1386</v>
      </c>
      <c r="B94" s="160" t="s">
        <v>596</v>
      </c>
      <c r="C94" s="39">
        <f>VLOOKUP(A94,[1]Data!$R$14:$AG$570,16,FALSE)</f>
        <v>232559.4</v>
      </c>
      <c r="D94" s="161">
        <f>+C94/$C$23*12</f>
        <v>253701.16363636364</v>
      </c>
      <c r="R94" s="161"/>
      <c r="T94" s="165"/>
    </row>
    <row r="95" spans="1:20" ht="15.75" x14ac:dyDescent="0.25">
      <c r="A95" s="71" t="s">
        <v>594</v>
      </c>
      <c r="F95"/>
      <c r="G95"/>
      <c r="H95"/>
      <c r="I95"/>
      <c r="J95"/>
      <c r="L95"/>
      <c r="N95"/>
      <c r="O95"/>
      <c r="P95"/>
      <c r="Q95"/>
      <c r="S95"/>
      <c r="T95" s="12"/>
    </row>
    <row r="96" spans="1:20" x14ac:dyDescent="0.25">
      <c r="A96" s="72" t="s">
        <v>500</v>
      </c>
      <c r="F96"/>
      <c r="G96"/>
      <c r="H96"/>
      <c r="I96"/>
      <c r="J96"/>
      <c r="L96"/>
      <c r="N96"/>
      <c r="O96"/>
      <c r="P96"/>
      <c r="Q96"/>
      <c r="S96"/>
      <c r="T96" s="12"/>
    </row>
    <row r="97" spans="1:20" x14ac:dyDescent="0.25">
      <c r="A97" s="73" t="s">
        <v>407</v>
      </c>
      <c r="F97"/>
      <c r="G97"/>
      <c r="H97"/>
      <c r="I97"/>
      <c r="J97"/>
      <c r="L97"/>
      <c r="N97"/>
      <c r="O97"/>
      <c r="P97"/>
      <c r="Q97"/>
      <c r="S97"/>
      <c r="T97" s="12"/>
    </row>
    <row r="98" spans="1:20" x14ac:dyDescent="0.25">
      <c r="A98" s="75" t="s">
        <v>595</v>
      </c>
      <c r="B98" t="s">
        <v>596</v>
      </c>
      <c r="C98" s="39">
        <f>VLOOKUP(A98,[1]Data!$R$14:$AG$570,16,FALSE)</f>
        <v>223536.87</v>
      </c>
      <c r="D98" s="39">
        <f>+C98/$C$23*12</f>
        <v>243858.40363636363</v>
      </c>
      <c r="F98"/>
      <c r="G98"/>
      <c r="H98"/>
      <c r="I98"/>
      <c r="J98"/>
      <c r="L98"/>
      <c r="N98"/>
      <c r="O98"/>
      <c r="P98"/>
      <c r="Q98"/>
      <c r="S98"/>
      <c r="T98" s="12"/>
    </row>
    <row r="99" spans="1:20" ht="15.75" x14ac:dyDescent="0.25">
      <c r="A99" s="71" t="s">
        <v>597</v>
      </c>
      <c r="F99"/>
      <c r="G99"/>
      <c r="H99"/>
      <c r="I99"/>
      <c r="J99"/>
      <c r="L99"/>
      <c r="N99"/>
      <c r="O99"/>
      <c r="P99"/>
      <c r="Q99"/>
      <c r="S99"/>
      <c r="T99" s="12"/>
    </row>
    <row r="100" spans="1:20" x14ac:dyDescent="0.25">
      <c r="A100" s="72" t="s">
        <v>500</v>
      </c>
      <c r="F100"/>
      <c r="G100"/>
      <c r="H100"/>
      <c r="I100"/>
      <c r="J100"/>
      <c r="L100"/>
      <c r="N100"/>
      <c r="O100"/>
      <c r="P100"/>
      <c r="Q100"/>
      <c r="S100"/>
      <c r="T100" s="12"/>
    </row>
    <row r="101" spans="1:20" x14ac:dyDescent="0.25">
      <c r="A101" s="73" t="s">
        <v>453</v>
      </c>
      <c r="F101"/>
      <c r="G101"/>
      <c r="H101"/>
      <c r="I101"/>
      <c r="J101"/>
      <c r="L101"/>
      <c r="N101"/>
      <c r="O101"/>
      <c r="P101"/>
      <c r="Q101"/>
      <c r="S101"/>
      <c r="T101" s="12"/>
    </row>
    <row r="102" spans="1:20" x14ac:dyDescent="0.25">
      <c r="A102" s="75" t="s">
        <v>598</v>
      </c>
      <c r="B102" t="s">
        <v>599</v>
      </c>
      <c r="C102" s="39">
        <f>VLOOKUP(A102,[1]Data!$R$14:$AG$570,16,FALSE)</f>
        <v>540784.19999999995</v>
      </c>
      <c r="D102" s="39">
        <f>+C102/$C$23*12</f>
        <v>589946.39999999991</v>
      </c>
      <c r="F102"/>
      <c r="G102"/>
      <c r="H102"/>
      <c r="I102"/>
      <c r="J102"/>
      <c r="L102"/>
      <c r="N102"/>
      <c r="O102"/>
      <c r="P102"/>
      <c r="Q102"/>
      <c r="S102"/>
      <c r="T102" s="12"/>
    </row>
    <row r="103" spans="1:20" x14ac:dyDescent="0.25">
      <c r="A103" s="75"/>
      <c r="F103"/>
      <c r="G103"/>
      <c r="H103"/>
      <c r="I103"/>
      <c r="J103"/>
      <c r="L103"/>
      <c r="N103"/>
      <c r="O103"/>
      <c r="P103"/>
      <c r="Q103"/>
      <c r="S103"/>
      <c r="T103" s="12"/>
    </row>
    <row r="104" spans="1:20" ht="15.75" x14ac:dyDescent="0.25">
      <c r="A104" s="80"/>
      <c r="B104" s="14"/>
      <c r="C104" s="78"/>
      <c r="D104" s="78">
        <f>SUM(D89:D102)</f>
        <v>1165605.5127272727</v>
      </c>
      <c r="E104" s="104">
        <f t="shared" ref="E104:Q104" si="14">+$D$104*E6/$T$6</f>
        <v>177767.44894933095</v>
      </c>
      <c r="F104" s="104">
        <f t="shared" si="14"/>
        <v>73305.928448079954</v>
      </c>
      <c r="G104" s="104">
        <f t="shared" si="14"/>
        <v>245430.23813590934</v>
      </c>
      <c r="H104" s="104">
        <f t="shared" si="14"/>
        <v>13184.230690967868</v>
      </c>
      <c r="I104" s="104">
        <f t="shared" si="14"/>
        <v>0</v>
      </c>
      <c r="J104" s="104">
        <f t="shared" si="14"/>
        <v>37217.095269095284</v>
      </c>
      <c r="K104" s="104">
        <f t="shared" si="14"/>
        <v>137660.9352769898</v>
      </c>
      <c r="L104" s="104">
        <f t="shared" si="14"/>
        <v>219677.81146618025</v>
      </c>
      <c r="M104" s="104">
        <f t="shared" si="14"/>
        <v>54101.022447160831</v>
      </c>
      <c r="N104" s="104">
        <f t="shared" si="14"/>
        <v>19969.143186445344</v>
      </c>
      <c r="O104" s="104">
        <f t="shared" si="14"/>
        <v>70447.196207778601</v>
      </c>
      <c r="P104" s="104">
        <f t="shared" si="14"/>
        <v>65306.704242705899</v>
      </c>
      <c r="Q104" s="104">
        <f t="shared" si="14"/>
        <v>51537.758406628527</v>
      </c>
      <c r="R104" s="59">
        <f>SUM(E104:Q104)</f>
        <v>1165605.5127272727</v>
      </c>
      <c r="S104" s="14"/>
      <c r="T104" s="15"/>
    </row>
    <row r="105" spans="1:20" ht="15.75" x14ac:dyDescent="0.25">
      <c r="A105" s="55"/>
      <c r="E105" s="39"/>
      <c r="F105" s="50"/>
      <c r="G105" s="50"/>
      <c r="H105" s="56"/>
      <c r="I105" s="57"/>
      <c r="J105" s="50"/>
      <c r="K105" s="39"/>
      <c r="L105" s="50"/>
      <c r="M105" s="39"/>
      <c r="N105" s="50"/>
      <c r="O105" s="50"/>
      <c r="P105" s="50"/>
      <c r="Q105" s="57"/>
      <c r="S105"/>
    </row>
    <row r="106" spans="1:20" ht="15.75" x14ac:dyDescent="0.25">
      <c r="A106" s="55"/>
      <c r="E106" s="39"/>
      <c r="F106" s="50"/>
      <c r="G106" s="50"/>
      <c r="H106" s="56"/>
      <c r="I106" s="57"/>
      <c r="J106" s="50"/>
      <c r="K106" s="39"/>
      <c r="L106" s="50"/>
      <c r="M106" s="39"/>
      <c r="N106" s="50"/>
      <c r="O106" s="50"/>
      <c r="P106" s="50"/>
      <c r="Q106" s="57"/>
      <c r="S106"/>
    </row>
    <row r="107" spans="1:20" ht="15.75" x14ac:dyDescent="0.25">
      <c r="A107" s="55"/>
      <c r="E107" s="39"/>
      <c r="F107" s="50"/>
      <c r="G107" s="50"/>
      <c r="H107" s="56"/>
      <c r="I107" s="57"/>
      <c r="J107" s="50"/>
      <c r="K107" s="39"/>
      <c r="L107" s="50"/>
      <c r="M107" s="39"/>
      <c r="N107" s="50"/>
      <c r="O107" s="50"/>
      <c r="P107" s="50"/>
      <c r="Q107" s="57"/>
      <c r="S107"/>
    </row>
    <row r="108" spans="1:20" ht="15.75" x14ac:dyDescent="0.25">
      <c r="A108" s="79"/>
      <c r="S108"/>
    </row>
    <row r="109" spans="1:20" ht="18.75" x14ac:dyDescent="0.3">
      <c r="A109" s="64" t="s">
        <v>603</v>
      </c>
      <c r="D109" s="39" t="s">
        <v>407</v>
      </c>
      <c r="S109"/>
    </row>
    <row r="110" spans="1:20" ht="18.75" x14ac:dyDescent="0.3">
      <c r="A110" s="67"/>
      <c r="B110" s="9"/>
      <c r="C110" s="68"/>
      <c r="D110" s="68"/>
      <c r="E110" s="9"/>
      <c r="F110" s="69"/>
      <c r="G110" s="69"/>
      <c r="H110" s="8"/>
      <c r="I110" s="10"/>
      <c r="J110" s="69"/>
      <c r="K110" s="9"/>
      <c r="L110" s="69"/>
      <c r="M110" s="9"/>
      <c r="N110" s="69"/>
      <c r="O110" s="69"/>
      <c r="P110" s="69"/>
      <c r="Q110" s="10"/>
      <c r="R110" s="93"/>
      <c r="S110" s="10"/>
    </row>
    <row r="111" spans="1:20" ht="15.75" x14ac:dyDescent="0.25">
      <c r="A111" s="70" t="s">
        <v>823</v>
      </c>
      <c r="S111" s="12"/>
    </row>
    <row r="112" spans="1:20" ht="15.75" x14ac:dyDescent="0.25">
      <c r="A112" s="70" t="s">
        <v>811</v>
      </c>
      <c r="D112" s="39">
        <f>+'Other Overhead'!AB5</f>
        <v>1578442.6159999999</v>
      </c>
      <c r="E112" s="39">
        <f t="shared" ref="E112:P112" si="15">+$D112*E$16</f>
        <v>236766.39239999998</v>
      </c>
      <c r="F112" s="50">
        <f t="shared" si="15"/>
        <v>47353.278479999994</v>
      </c>
      <c r="G112" s="50">
        <f t="shared" si="15"/>
        <v>110490.98312</v>
      </c>
      <c r="H112" s="56">
        <f t="shared" si="15"/>
        <v>236766.39239999998</v>
      </c>
      <c r="I112" s="57">
        <f t="shared" si="15"/>
        <v>78922.130799999999</v>
      </c>
      <c r="J112" s="50">
        <f t="shared" si="15"/>
        <v>157844.2616</v>
      </c>
      <c r="K112" s="39">
        <f t="shared" si="15"/>
        <v>157844.2616</v>
      </c>
      <c r="L112" s="50">
        <f t="shared" si="15"/>
        <v>157844.2616</v>
      </c>
      <c r="M112" s="39">
        <f t="shared" si="15"/>
        <v>78922.130799999999</v>
      </c>
      <c r="N112" s="50">
        <f t="shared" si="15"/>
        <v>78922.130799999999</v>
      </c>
      <c r="O112" s="50">
        <f>+$D112*O$16</f>
        <v>78922.130799999999</v>
      </c>
      <c r="P112" s="50">
        <f t="shared" si="15"/>
        <v>157844.2616</v>
      </c>
      <c r="R112" s="59">
        <f t="shared" ref="R112:R114" si="16">SUM(E112:Q112)</f>
        <v>1578442.6159999999</v>
      </c>
      <c r="S112" s="12"/>
    </row>
    <row r="113" spans="1:21" ht="15.75" x14ac:dyDescent="0.25">
      <c r="A113" s="70" t="s">
        <v>151</v>
      </c>
      <c r="D113" s="39">
        <f>+'Other Overhead'!AB29</f>
        <v>467959.56287040003</v>
      </c>
      <c r="E113" s="56">
        <f t="shared" ref="E113:P113" si="17">+$D113*E$17</f>
        <v>70193.934430559995</v>
      </c>
      <c r="F113" s="56">
        <f t="shared" si="17"/>
        <v>23397.978143520002</v>
      </c>
      <c r="G113" s="56">
        <f t="shared" si="17"/>
        <v>23397.978143520002</v>
      </c>
      <c r="H113" s="56">
        <f t="shared" si="17"/>
        <v>23397.978143520002</v>
      </c>
      <c r="I113" s="56">
        <f t="shared" si="17"/>
        <v>0</v>
      </c>
      <c r="J113" s="56">
        <f t="shared" si="17"/>
        <v>23397.978143520002</v>
      </c>
      <c r="K113" s="56">
        <f t="shared" si="17"/>
        <v>93591.912574080008</v>
      </c>
      <c r="L113" s="56">
        <f t="shared" si="17"/>
        <v>93591.912574080008</v>
      </c>
      <c r="M113" s="56">
        <f t="shared" si="17"/>
        <v>23397.978143520002</v>
      </c>
      <c r="N113" s="56">
        <f t="shared" si="17"/>
        <v>23397.978143520002</v>
      </c>
      <c r="O113" s="56">
        <f t="shared" si="17"/>
        <v>46795.956287040004</v>
      </c>
      <c r="P113" s="56">
        <f t="shared" si="17"/>
        <v>23397.978143520002</v>
      </c>
      <c r="R113" s="59">
        <f t="shared" si="16"/>
        <v>467959.56287040008</v>
      </c>
      <c r="S113" s="12"/>
    </row>
    <row r="114" spans="1:21" ht="15.75" x14ac:dyDescent="0.25">
      <c r="A114" s="70" t="s">
        <v>493</v>
      </c>
      <c r="D114" s="39">
        <f>+'Other Overhead'!AB24</f>
        <v>3844752.904369066</v>
      </c>
      <c r="E114" s="39">
        <f t="shared" ref="E114:P114" si="18">+$D114*E$15</f>
        <v>384475.29043690662</v>
      </c>
      <c r="F114" s="50">
        <f t="shared" si="18"/>
        <v>192237.64521845331</v>
      </c>
      <c r="G114" s="50">
        <f t="shared" si="18"/>
        <v>384475.29043690662</v>
      </c>
      <c r="H114" s="56">
        <f t="shared" si="18"/>
        <v>576712.93565535988</v>
      </c>
      <c r="I114" s="57">
        <f t="shared" si="18"/>
        <v>192237.64521845331</v>
      </c>
      <c r="J114" s="50">
        <f t="shared" si="18"/>
        <v>384475.29043690662</v>
      </c>
      <c r="K114" s="39">
        <f t="shared" si="18"/>
        <v>192237.64521845331</v>
      </c>
      <c r="L114" s="50">
        <f t="shared" si="18"/>
        <v>576712.93565535988</v>
      </c>
      <c r="M114" s="39">
        <f t="shared" si="18"/>
        <v>384475.29043690662</v>
      </c>
      <c r="N114" s="50">
        <f t="shared" si="18"/>
        <v>192237.64521845331</v>
      </c>
      <c r="O114" s="50">
        <f t="shared" si="18"/>
        <v>192237.64521845331</v>
      </c>
      <c r="P114" s="50">
        <f t="shared" si="18"/>
        <v>192237.64521845331</v>
      </c>
      <c r="R114" s="59">
        <f t="shared" si="16"/>
        <v>3844752.9043690665</v>
      </c>
      <c r="S114" s="12"/>
    </row>
    <row r="115" spans="1:21" ht="15.75" x14ac:dyDescent="0.25">
      <c r="A115" s="70"/>
      <c r="E115" s="106">
        <f>SUM(E112:E114)</f>
        <v>691435.61726746662</v>
      </c>
      <c r="F115" s="107">
        <f t="shared" ref="F115" si="19">SUM(F112:F114)</f>
        <v>262988.9018419733</v>
      </c>
      <c r="G115" s="107">
        <f t="shared" ref="G115:P115" si="20">SUM(G112:G114)</f>
        <v>518364.25170042663</v>
      </c>
      <c r="H115" s="106">
        <f t="shared" si="20"/>
        <v>836877.30619887984</v>
      </c>
      <c r="I115" s="108">
        <f t="shared" si="20"/>
        <v>271159.7760184533</v>
      </c>
      <c r="J115" s="107">
        <f t="shared" si="20"/>
        <v>565717.53018042666</v>
      </c>
      <c r="K115" s="59">
        <f t="shared" si="20"/>
        <v>443673.81939253333</v>
      </c>
      <c r="L115" s="107">
        <f t="shared" si="20"/>
        <v>828149.1098294399</v>
      </c>
      <c r="M115" s="59">
        <f t="shared" si="20"/>
        <v>486795.39938042662</v>
      </c>
      <c r="N115" s="107">
        <f t="shared" si="20"/>
        <v>294557.75416197331</v>
      </c>
      <c r="O115" s="107">
        <f t="shared" ref="O115" si="21">SUM(O112:O114)</f>
        <v>317955.73230549332</v>
      </c>
      <c r="P115" s="107">
        <f t="shared" si="20"/>
        <v>373479.88496197329</v>
      </c>
      <c r="Q115" s="62"/>
      <c r="S115" s="62"/>
    </row>
    <row r="116" spans="1:21" ht="15.75" x14ac:dyDescent="0.25">
      <c r="A116" s="70"/>
      <c r="S116" s="12"/>
    </row>
    <row r="117" spans="1:21" ht="15.75" x14ac:dyDescent="0.25">
      <c r="A117" s="70" t="s">
        <v>604</v>
      </c>
      <c r="S117" s="12"/>
    </row>
    <row r="118" spans="1:21" ht="15.75" x14ac:dyDescent="0.25">
      <c r="A118" s="70"/>
      <c r="S118" s="12"/>
    </row>
    <row r="119" spans="1:21" ht="15.75" x14ac:dyDescent="0.25">
      <c r="A119" s="71" t="s">
        <v>534</v>
      </c>
      <c r="S119" s="12"/>
    </row>
    <row r="120" spans="1:21" x14ac:dyDescent="0.25">
      <c r="A120" s="72" t="s">
        <v>500</v>
      </c>
      <c r="S120" s="12"/>
    </row>
    <row r="121" spans="1:21" x14ac:dyDescent="0.25">
      <c r="A121" s="73" t="s">
        <v>453</v>
      </c>
      <c r="S121" s="12"/>
    </row>
    <row r="122" spans="1:21" x14ac:dyDescent="0.25">
      <c r="A122" s="75" t="s">
        <v>535</v>
      </c>
      <c r="B122" t="s">
        <v>536</v>
      </c>
      <c r="C122" s="39">
        <f>VLOOKUP(A122,[1]Data!$R$14:$AG$570,16,FALSE)</f>
        <v>396766.31</v>
      </c>
      <c r="D122" s="39">
        <f>+C122/$C$23*12</f>
        <v>432835.97454545449</v>
      </c>
      <c r="E122" s="56">
        <f t="shared" ref="E122:Q122" si="22">+$D$122*E$13</f>
        <v>51940.316945454535</v>
      </c>
      <c r="F122" s="56">
        <f t="shared" si="22"/>
        <v>43283.597454545452</v>
      </c>
      <c r="G122" s="56">
        <f t="shared" si="22"/>
        <v>43283.597454545452</v>
      </c>
      <c r="H122" s="56">
        <f t="shared" si="22"/>
        <v>8656.7194909090904</v>
      </c>
      <c r="I122" s="56">
        <f t="shared" si="22"/>
        <v>8656.7194909090904</v>
      </c>
      <c r="J122" s="50">
        <f t="shared" si="22"/>
        <v>21641.798727272726</v>
      </c>
      <c r="K122" s="39">
        <f t="shared" si="22"/>
        <v>34626.877963636362</v>
      </c>
      <c r="L122" s="50">
        <f t="shared" si="22"/>
        <v>64925.396181818171</v>
      </c>
      <c r="M122" s="39">
        <f t="shared" si="22"/>
        <v>21641.798727272726</v>
      </c>
      <c r="N122" s="50">
        <f t="shared" si="22"/>
        <v>34626.877963636362</v>
      </c>
      <c r="O122" s="50">
        <f t="shared" si="22"/>
        <v>21641.798727272726</v>
      </c>
      <c r="P122" s="50">
        <f t="shared" si="22"/>
        <v>34626.877963636362</v>
      </c>
      <c r="Q122" s="57">
        <f t="shared" si="22"/>
        <v>43283.597454545452</v>
      </c>
      <c r="R122" s="59">
        <f t="shared" ref="R122" si="23">SUM(E122:Q122)</f>
        <v>432835.97454545443</v>
      </c>
      <c r="S122" s="12"/>
    </row>
    <row r="123" spans="1:21" ht="15.75" x14ac:dyDescent="0.25">
      <c r="A123" s="71" t="s">
        <v>537</v>
      </c>
      <c r="S123" s="12"/>
    </row>
    <row r="124" spans="1:21" x14ac:dyDescent="0.25">
      <c r="A124" s="72" t="s">
        <v>500</v>
      </c>
      <c r="S124" s="12"/>
    </row>
    <row r="125" spans="1:21" x14ac:dyDescent="0.25">
      <c r="A125" s="73" t="s">
        <v>453</v>
      </c>
      <c r="S125" s="12"/>
    </row>
    <row r="126" spans="1:21" s="160" customFormat="1" x14ac:dyDescent="0.25">
      <c r="A126" s="167" t="s">
        <v>538</v>
      </c>
      <c r="B126" s="160" t="s">
        <v>539</v>
      </c>
      <c r="C126" s="161"/>
      <c r="D126" s="161">
        <f>+C126/$C$23*12</f>
        <v>0</v>
      </c>
      <c r="F126" s="166"/>
      <c r="G126" s="166"/>
      <c r="H126" s="164"/>
      <c r="I126" s="165"/>
      <c r="J126" s="166"/>
      <c r="K126" s="161">
        <f>+D126</f>
        <v>0</v>
      </c>
      <c r="L126" s="166"/>
      <c r="N126" s="166"/>
      <c r="O126" s="166"/>
      <c r="P126" s="166"/>
      <c r="Q126" s="165"/>
      <c r="R126" s="161"/>
      <c r="S126" s="165"/>
      <c r="U126" s="160" t="s">
        <v>1006</v>
      </c>
    </row>
    <row r="127" spans="1:21" x14ac:dyDescent="0.25">
      <c r="A127" s="75" t="s">
        <v>540</v>
      </c>
      <c r="B127" t="s">
        <v>541</v>
      </c>
      <c r="C127" s="39">
        <f>VLOOKUP(A127,[1]Data!$R$14:$AG$570,16,FALSE)</f>
        <v>466175.13</v>
      </c>
      <c r="D127" s="39">
        <f>+C127/$C$23*12</f>
        <v>508554.68727272726</v>
      </c>
      <c r="E127" s="40">
        <f>+$D$127*E12</f>
        <v>76283.203090909083</v>
      </c>
      <c r="K127">
        <f>+$D$127*K12</f>
        <v>305132.81236363633</v>
      </c>
      <c r="M127">
        <f>+$D$127*M12</f>
        <v>50855.468727272731</v>
      </c>
      <c r="Q127">
        <f>+$D$127*Q12</f>
        <v>76283.203090909083</v>
      </c>
      <c r="R127" s="59">
        <f t="shared" ref="R127" si="24">SUM(E127:Q127)</f>
        <v>508554.68727272714</v>
      </c>
      <c r="S127" s="12"/>
      <c r="U127" t="s">
        <v>1009</v>
      </c>
    </row>
    <row r="128" spans="1:21" ht="15.75" x14ac:dyDescent="0.25">
      <c r="A128" s="71" t="s">
        <v>542</v>
      </c>
      <c r="S128" s="12"/>
    </row>
    <row r="129" spans="1:21" x14ac:dyDescent="0.25">
      <c r="A129" s="72" t="s">
        <v>500</v>
      </c>
      <c r="S129" s="12"/>
    </row>
    <row r="130" spans="1:21" x14ac:dyDescent="0.25">
      <c r="A130" s="73" t="s">
        <v>453</v>
      </c>
      <c r="S130" s="12"/>
    </row>
    <row r="131" spans="1:21" s="160" customFormat="1" x14ac:dyDescent="0.25">
      <c r="A131" s="159" t="s">
        <v>543</v>
      </c>
      <c r="B131" s="160" t="s">
        <v>544</v>
      </c>
      <c r="C131" s="161"/>
      <c r="D131" s="161">
        <f t="shared" ref="D131:D134" si="25">+C131/$C$23*12</f>
        <v>0</v>
      </c>
      <c r="F131" s="169">
        <f>+$D$131*F9</f>
        <v>0</v>
      </c>
      <c r="G131" s="169">
        <f>+$D$131*G9</f>
        <v>0</v>
      </c>
      <c r="H131" s="164"/>
      <c r="I131" s="165"/>
      <c r="J131" s="169">
        <f>+$D$131*J9</f>
        <v>0</v>
      </c>
      <c r="K131" s="169">
        <f>+$D$131*K9</f>
        <v>0</v>
      </c>
      <c r="L131" s="166"/>
      <c r="M131" s="169">
        <f>+$D$131*M9</f>
        <v>0</v>
      </c>
      <c r="N131" s="166"/>
      <c r="O131" s="166"/>
      <c r="P131" s="166"/>
      <c r="Q131" s="165"/>
      <c r="R131" s="161"/>
      <c r="S131" s="165"/>
      <c r="U131" s="160" t="s">
        <v>1006</v>
      </c>
    </row>
    <row r="132" spans="1:21" x14ac:dyDescent="0.25">
      <c r="A132" s="73" t="s">
        <v>545</v>
      </c>
      <c r="B132" t="s">
        <v>546</v>
      </c>
      <c r="C132" s="39">
        <f>VLOOKUP(A132,[1]Data!$R$14:$AG$570,16,FALSE)</f>
        <v>997035.23</v>
      </c>
      <c r="D132" s="39">
        <f t="shared" si="25"/>
        <v>1087674.7963636364</v>
      </c>
      <c r="E132" s="39">
        <f>+$D$132*E9</f>
        <v>108767.47963636364</v>
      </c>
      <c r="F132" s="39">
        <f>+$D$132*F9</f>
        <v>65260.487781818178</v>
      </c>
      <c r="G132" s="39">
        <f>+$D$132*G9</f>
        <v>108767.47963636364</v>
      </c>
      <c r="H132" s="39">
        <f>+$D$132*H9</f>
        <v>32630.243890909089</v>
      </c>
      <c r="J132" s="39">
        <f t="shared" ref="J132:Q132" si="26">+$D$132*J9</f>
        <v>87013.983709090913</v>
      </c>
      <c r="K132" s="39">
        <f t="shared" si="26"/>
        <v>217534.95927272728</v>
      </c>
      <c r="L132" s="39">
        <f t="shared" si="26"/>
        <v>163151.21945454544</v>
      </c>
      <c r="M132" s="39">
        <f t="shared" si="26"/>
        <v>32630.243890909089</v>
      </c>
      <c r="N132" s="39">
        <f t="shared" si="26"/>
        <v>54383.739818181821</v>
      </c>
      <c r="O132" s="39">
        <f t="shared" si="26"/>
        <v>108767.47963636364</v>
      </c>
      <c r="P132" s="39">
        <f t="shared" si="26"/>
        <v>54383.739818181821</v>
      </c>
      <c r="Q132" s="39">
        <f t="shared" si="26"/>
        <v>54383.739818181821</v>
      </c>
      <c r="R132" s="59">
        <f t="shared" ref="R132:R133" si="27">SUM(E132:Q132)</f>
        <v>1087674.7963636364</v>
      </c>
      <c r="U132" t="s">
        <v>1009</v>
      </c>
    </row>
    <row r="133" spans="1:21" x14ac:dyDescent="0.25">
      <c r="A133" s="73" t="s">
        <v>547</v>
      </c>
      <c r="B133" t="s">
        <v>548</v>
      </c>
      <c r="C133" s="39">
        <f>VLOOKUP(A133,[1]Data!$R$14:$AG$570,16,FALSE)</f>
        <v>205651.15</v>
      </c>
      <c r="D133" s="39">
        <f t="shared" si="25"/>
        <v>224346.70909090908</v>
      </c>
      <c r="I133" s="57">
        <f>+$D$133*I8</f>
        <v>112173.35454545454</v>
      </c>
      <c r="R133" s="59">
        <f t="shared" si="27"/>
        <v>112173.35454545454</v>
      </c>
      <c r="S133" s="12"/>
    </row>
    <row r="134" spans="1:21" s="160" customFormat="1" x14ac:dyDescent="0.25">
      <c r="A134" s="159" t="s">
        <v>549</v>
      </c>
      <c r="B134" s="160" t="s">
        <v>550</v>
      </c>
      <c r="C134" s="161"/>
      <c r="D134" s="161">
        <f t="shared" si="25"/>
        <v>0</v>
      </c>
      <c r="F134" s="169">
        <f>+F8*$D$134</f>
        <v>0</v>
      </c>
      <c r="G134" s="169">
        <f>+G8*$D$134</f>
        <v>0</v>
      </c>
      <c r="H134" s="164"/>
      <c r="I134" s="165"/>
      <c r="J134" s="169">
        <f>+J8*$D$134</f>
        <v>0</v>
      </c>
      <c r="K134" s="169">
        <f>+K8*$D$134</f>
        <v>0</v>
      </c>
      <c r="L134" s="166"/>
      <c r="M134" s="169">
        <f>+M8*$D$134</f>
        <v>0</v>
      </c>
      <c r="N134" s="166"/>
      <c r="O134" s="166"/>
      <c r="P134" s="166"/>
      <c r="Q134" s="165"/>
      <c r="R134" s="169"/>
      <c r="S134" s="165"/>
      <c r="U134" s="160" t="s">
        <v>1006</v>
      </c>
    </row>
    <row r="135" spans="1:21" x14ac:dyDescent="0.25">
      <c r="A135" s="73" t="s">
        <v>551</v>
      </c>
      <c r="B135" t="s">
        <v>552</v>
      </c>
      <c r="C135" s="39">
        <f>VLOOKUP(A135,[1]Data!$R$14:$AG$570,16,FALSE)</f>
        <v>99960.66</v>
      </c>
      <c r="D135" s="39">
        <f t="shared" ref="D135:D137" si="28">+C135/$C$23*12</f>
        <v>109047.99272727274</v>
      </c>
      <c r="E135" s="39">
        <f>+$D$135*E8</f>
        <v>2180.9598545454546</v>
      </c>
      <c r="F135" s="39">
        <f>+$D$135*F8</f>
        <v>1090.4799272727273</v>
      </c>
      <c r="G135" s="39">
        <f>+$D$135*G8</f>
        <v>5452.399636363637</v>
      </c>
      <c r="H135" s="39">
        <f>+$D$135*H8</f>
        <v>2180.9598545454546</v>
      </c>
      <c r="J135" s="39">
        <f t="shared" ref="J135:Q135" si="29">+$D$135*J8</f>
        <v>4361.9197090909092</v>
      </c>
      <c r="K135" s="39">
        <f t="shared" si="29"/>
        <v>74152.635054545462</v>
      </c>
      <c r="L135" s="39">
        <f t="shared" si="29"/>
        <v>2180.9598545454546</v>
      </c>
      <c r="M135" s="39">
        <f t="shared" si="29"/>
        <v>2180.9598545454546</v>
      </c>
      <c r="N135" s="39">
        <f t="shared" si="29"/>
        <v>4361.9197090909092</v>
      </c>
      <c r="O135" s="39">
        <f t="shared" si="29"/>
        <v>8723.8394181818185</v>
      </c>
      <c r="P135" s="39">
        <f t="shared" si="29"/>
        <v>2180.9598545454546</v>
      </c>
      <c r="Q135" s="39">
        <f t="shared" si="29"/>
        <v>0</v>
      </c>
      <c r="R135" s="59">
        <f t="shared" ref="R135:R137" si="30">SUM(E135:Q135)</f>
        <v>109047.99272727272</v>
      </c>
      <c r="S135" s="12"/>
      <c r="U135" t="s">
        <v>1009</v>
      </c>
    </row>
    <row r="136" spans="1:21" x14ac:dyDescent="0.25">
      <c r="A136" s="75" t="s">
        <v>558</v>
      </c>
      <c r="B136" t="s">
        <v>559</v>
      </c>
      <c r="C136" s="39">
        <f>VLOOKUP(A136,[1]Data!$R$14:$AG$570,16,FALSE)</f>
        <v>17575.580000000002</v>
      </c>
      <c r="D136" s="39">
        <f t="shared" si="28"/>
        <v>19173.36</v>
      </c>
      <c r="E136" s="39">
        <f t="shared" ref="E136:Q136" si="31">+$D$136*E13</f>
        <v>2300.8031999999998</v>
      </c>
      <c r="F136" s="39">
        <f t="shared" si="31"/>
        <v>1917.3360000000002</v>
      </c>
      <c r="G136" s="39">
        <f t="shared" si="31"/>
        <v>1917.3360000000002</v>
      </c>
      <c r="H136" s="39">
        <f t="shared" si="31"/>
        <v>383.46720000000005</v>
      </c>
      <c r="I136" s="39">
        <f t="shared" si="31"/>
        <v>383.46720000000005</v>
      </c>
      <c r="J136" s="39">
        <f t="shared" si="31"/>
        <v>958.66800000000012</v>
      </c>
      <c r="K136" s="39">
        <f t="shared" si="31"/>
        <v>1533.8688000000002</v>
      </c>
      <c r="L136" s="39">
        <f t="shared" si="31"/>
        <v>2876.0039999999999</v>
      </c>
      <c r="M136" s="39">
        <f t="shared" si="31"/>
        <v>958.66800000000012</v>
      </c>
      <c r="N136" s="39">
        <f t="shared" si="31"/>
        <v>1533.8688000000002</v>
      </c>
      <c r="O136" s="39">
        <f t="shared" si="31"/>
        <v>958.66800000000012</v>
      </c>
      <c r="P136" s="39">
        <f t="shared" si="31"/>
        <v>1533.8688000000002</v>
      </c>
      <c r="Q136" s="39">
        <f t="shared" si="31"/>
        <v>1917.3360000000002</v>
      </c>
      <c r="R136" s="59">
        <f t="shared" si="30"/>
        <v>19173.36</v>
      </c>
      <c r="S136" s="12"/>
    </row>
    <row r="137" spans="1:21" x14ac:dyDescent="0.25">
      <c r="A137" s="73" t="s">
        <v>553</v>
      </c>
      <c r="B137" t="s">
        <v>554</v>
      </c>
      <c r="C137" s="39">
        <f>VLOOKUP(A137,[1]Data!$R$14:$AG$570,16,FALSE)</f>
        <v>9724.07</v>
      </c>
      <c r="D137" s="39">
        <f t="shared" si="28"/>
        <v>10608.076363636363</v>
      </c>
      <c r="I137" s="39">
        <f>+$D$137*I8</f>
        <v>5304.0381818181813</v>
      </c>
      <c r="K137" s="39"/>
      <c r="R137" s="59">
        <f t="shared" si="30"/>
        <v>5304.0381818181813</v>
      </c>
      <c r="S137" s="12"/>
    </row>
    <row r="138" spans="1:21" ht="15.75" x14ac:dyDescent="0.25">
      <c r="A138" s="71" t="s">
        <v>583</v>
      </c>
      <c r="S138" s="12"/>
    </row>
    <row r="139" spans="1:21" x14ac:dyDescent="0.25">
      <c r="A139" s="72" t="s">
        <v>500</v>
      </c>
      <c r="S139" s="12"/>
    </row>
    <row r="140" spans="1:21" x14ac:dyDescent="0.25">
      <c r="A140" s="73" t="s">
        <v>453</v>
      </c>
      <c r="S140" s="12"/>
    </row>
    <row r="141" spans="1:21" x14ac:dyDescent="0.25">
      <c r="A141" s="84" t="s">
        <v>584</v>
      </c>
      <c r="B141" s="14" t="s">
        <v>497</v>
      </c>
      <c r="C141" s="39">
        <f>VLOOKUP(A141,[1]Data!$R$14:$AG$570,16,FALSE)</f>
        <v>133390.04999999999</v>
      </c>
      <c r="D141" s="39">
        <f t="shared" ref="D141" si="32">+C141/$C$23*12</f>
        <v>145516.41818181818</v>
      </c>
      <c r="E141" s="78">
        <f t="shared" ref="E141:Q141" si="33">+$D$141*E14</f>
        <v>14551.641818181819</v>
      </c>
      <c r="F141" s="82">
        <f t="shared" si="33"/>
        <v>0</v>
      </c>
      <c r="G141" s="82">
        <f t="shared" si="33"/>
        <v>29103.283636363638</v>
      </c>
      <c r="H141" s="81">
        <f t="shared" si="33"/>
        <v>7275.8209090909095</v>
      </c>
      <c r="I141" s="83">
        <f t="shared" si="33"/>
        <v>7275.8209090909095</v>
      </c>
      <c r="J141" s="82">
        <f t="shared" si="33"/>
        <v>14551.641818181819</v>
      </c>
      <c r="K141" s="78">
        <f t="shared" si="33"/>
        <v>8730.985090909091</v>
      </c>
      <c r="L141" s="82">
        <f t="shared" si="33"/>
        <v>30558.447818181816</v>
      </c>
      <c r="M141" s="78">
        <f t="shared" si="33"/>
        <v>2910.3283636363635</v>
      </c>
      <c r="N141" s="82">
        <f t="shared" si="33"/>
        <v>0</v>
      </c>
      <c r="O141" s="82">
        <f t="shared" si="33"/>
        <v>21827.462727272727</v>
      </c>
      <c r="P141" s="82">
        <f t="shared" si="33"/>
        <v>7275.8209090909095</v>
      </c>
      <c r="Q141" s="83">
        <f t="shared" si="33"/>
        <v>1455.1641818181818</v>
      </c>
      <c r="R141" s="59">
        <f t="shared" ref="R141" si="34">SUM(E141:Q141)</f>
        <v>145516.41818181821</v>
      </c>
      <c r="S141" s="15"/>
    </row>
    <row r="142" spans="1:21" x14ac:dyDescent="0.25">
      <c r="A142" s="105"/>
      <c r="E142" s="59">
        <f t="shared" ref="E142:S142" si="35">SUM(E119:E141)</f>
        <v>256024.40454545451</v>
      </c>
      <c r="F142" s="59">
        <f t="shared" ref="F142" si="36">SUM(F119:F141)</f>
        <v>111551.90116363636</v>
      </c>
      <c r="G142" s="59">
        <f t="shared" si="35"/>
        <v>188524.09636363637</v>
      </c>
      <c r="H142" s="59">
        <f t="shared" si="35"/>
        <v>51127.21134545454</v>
      </c>
      <c r="I142" s="59">
        <f t="shared" si="35"/>
        <v>133793.40032727271</v>
      </c>
      <c r="J142" s="59">
        <f t="shared" si="35"/>
        <v>128528.01196363637</v>
      </c>
      <c r="K142" s="59">
        <f t="shared" si="35"/>
        <v>641712.1385454546</v>
      </c>
      <c r="L142" s="59">
        <f t="shared" si="35"/>
        <v>263692.02730909089</v>
      </c>
      <c r="M142" s="59">
        <f t="shared" si="35"/>
        <v>111177.46756363635</v>
      </c>
      <c r="N142" s="59">
        <f t="shared" si="35"/>
        <v>94906.406290909086</v>
      </c>
      <c r="O142" s="59">
        <f t="shared" ref="O142" si="37">SUM(O119:O141)</f>
        <v>161919.24850909095</v>
      </c>
      <c r="P142" s="59">
        <f t="shared" si="35"/>
        <v>100001.26734545453</v>
      </c>
      <c r="Q142" s="59">
        <f t="shared" si="35"/>
        <v>177323.04054545457</v>
      </c>
      <c r="R142" s="59">
        <f t="shared" si="35"/>
        <v>2420280.6218181811</v>
      </c>
      <c r="S142">
        <f t="shared" si="35"/>
        <v>0</v>
      </c>
    </row>
    <row r="143" spans="1:21" ht="15.75" x14ac:dyDescent="0.25">
      <c r="A143" s="55"/>
      <c r="S143"/>
    </row>
    <row r="144" spans="1:21" ht="18.75" x14ac:dyDescent="0.3">
      <c r="A144" s="64" t="s">
        <v>612</v>
      </c>
      <c r="D144" s="39" t="s">
        <v>407</v>
      </c>
      <c r="S144"/>
    </row>
    <row r="145" spans="1:19" ht="18.75" x14ac:dyDescent="0.3">
      <c r="A145" s="67"/>
      <c r="B145" s="9"/>
      <c r="C145" s="68"/>
      <c r="D145" s="68"/>
      <c r="E145" s="9"/>
      <c r="F145" s="69"/>
      <c r="G145" s="69"/>
      <c r="H145" s="8"/>
      <c r="I145" s="10"/>
      <c r="J145" s="69"/>
      <c r="K145" s="9"/>
      <c r="L145" s="69"/>
      <c r="M145" s="9"/>
      <c r="N145" s="69"/>
      <c r="O145" s="69"/>
      <c r="P145" s="69"/>
      <c r="Q145" s="10"/>
      <c r="R145" s="93"/>
      <c r="S145" s="10"/>
    </row>
    <row r="146" spans="1:19" ht="15.75" x14ac:dyDescent="0.25">
      <c r="A146" s="71" t="s">
        <v>555</v>
      </c>
      <c r="S146" s="12"/>
    </row>
    <row r="147" spans="1:19" x14ac:dyDescent="0.25">
      <c r="A147" s="72" t="s">
        <v>500</v>
      </c>
      <c r="S147" s="12"/>
    </row>
    <row r="148" spans="1:19" x14ac:dyDescent="0.25">
      <c r="A148" s="73" t="s">
        <v>453</v>
      </c>
      <c r="S148" s="12"/>
    </row>
    <row r="149" spans="1:19" x14ac:dyDescent="0.25">
      <c r="A149" s="75" t="s">
        <v>556</v>
      </c>
      <c r="B149" t="s">
        <v>557</v>
      </c>
      <c r="C149" s="39">
        <f>VLOOKUP(A149,[1]Data!$R$14:$AG$570,16,FALSE)</f>
        <v>34830</v>
      </c>
      <c r="D149" s="39">
        <f>+C149/$C$23*12</f>
        <v>37996.36363636364</v>
      </c>
      <c r="E149" s="39">
        <f t="shared" ref="E149:Q149" ca="1" si="38">+$D$149/$T$5*E5</f>
        <v>4389.7314049586776</v>
      </c>
      <c r="F149" s="39">
        <f t="shared" ca="1" si="38"/>
        <v>479.75206611570258</v>
      </c>
      <c r="G149" s="39">
        <f t="shared" ca="1" si="38"/>
        <v>479.75206611570258</v>
      </c>
      <c r="H149" s="39">
        <f t="shared" ca="1" si="38"/>
        <v>5972.9132231404974</v>
      </c>
      <c r="I149" s="39">
        <f t="shared" ca="1" si="38"/>
        <v>959.50413223140515</v>
      </c>
      <c r="J149" s="39">
        <f t="shared" ca="1" si="38"/>
        <v>4797.5206611570256</v>
      </c>
      <c r="K149" s="39">
        <f t="shared" ca="1" si="38"/>
        <v>5277.2727272727279</v>
      </c>
      <c r="L149" s="39">
        <f t="shared" ca="1" si="38"/>
        <v>1919.0082644628103</v>
      </c>
      <c r="M149" s="39">
        <f t="shared" ca="1" si="38"/>
        <v>3838.0165289256206</v>
      </c>
      <c r="N149" s="39">
        <f t="shared" ca="1" si="38"/>
        <v>959.50413223140515</v>
      </c>
      <c r="O149" s="39">
        <f t="shared" ca="1" si="38"/>
        <v>1919.0082644628103</v>
      </c>
      <c r="P149" s="39">
        <f t="shared" ca="1" si="38"/>
        <v>2206.8595041322315</v>
      </c>
      <c r="Q149" s="39">
        <f t="shared" ca="1" si="38"/>
        <v>4797.5206611570256</v>
      </c>
      <c r="R149" s="59">
        <f t="shared" ref="R149" ca="1" si="39">SUM(E149:Q149)</f>
        <v>37996.36363636364</v>
      </c>
      <c r="S149" s="12"/>
    </row>
    <row r="150" spans="1:19" ht="15.75" x14ac:dyDescent="0.25">
      <c r="A150" s="71" t="s">
        <v>565</v>
      </c>
      <c r="S150" s="12"/>
    </row>
    <row r="151" spans="1:19" x14ac:dyDescent="0.25">
      <c r="A151" s="72" t="s">
        <v>500</v>
      </c>
      <c r="S151" s="12"/>
    </row>
    <row r="152" spans="1:19" x14ac:dyDescent="0.25">
      <c r="A152" s="73" t="s">
        <v>453</v>
      </c>
      <c r="S152" s="12"/>
    </row>
    <row r="153" spans="1:19" x14ac:dyDescent="0.25">
      <c r="A153" s="75" t="s">
        <v>566</v>
      </c>
      <c r="B153" t="s">
        <v>567</v>
      </c>
      <c r="C153" s="39">
        <f>VLOOKUP(A153,[1]Data!$R$14:$AG$570,16,FALSE)</f>
        <v>107985.88</v>
      </c>
      <c r="D153" s="196">
        <f>+C153</f>
        <v>107985.88</v>
      </c>
      <c r="E153" s="56">
        <f t="shared" ref="E153:Q153" ca="1" si="40">+$D$153*E5/$T$5</f>
        <v>12475.641439393939</v>
      </c>
      <c r="F153" s="56">
        <f t="shared" ca="1" si="40"/>
        <v>1363.4580808080811</v>
      </c>
      <c r="G153" s="56">
        <f t="shared" ca="1" si="40"/>
        <v>1363.4580808080811</v>
      </c>
      <c r="H153" s="56">
        <f t="shared" ca="1" si="40"/>
        <v>16975.053106060612</v>
      </c>
      <c r="I153" s="56">
        <f t="shared" ca="1" si="40"/>
        <v>2726.9161616161623</v>
      </c>
      <c r="J153" s="56">
        <f t="shared" ca="1" si="40"/>
        <v>13634.580808080811</v>
      </c>
      <c r="K153" s="56">
        <f t="shared" ca="1" si="40"/>
        <v>14998.038888888894</v>
      </c>
      <c r="L153" s="56">
        <f t="shared" ca="1" si="40"/>
        <v>5453.8323232323246</v>
      </c>
      <c r="M153" s="56">
        <f t="shared" ca="1" si="40"/>
        <v>10907.664646464649</v>
      </c>
      <c r="N153" s="56">
        <f t="shared" ca="1" si="40"/>
        <v>2726.9161616161623</v>
      </c>
      <c r="O153" s="56">
        <f t="shared" ca="1" si="40"/>
        <v>5453.8323232323246</v>
      </c>
      <c r="P153" s="56">
        <f t="shared" ca="1" si="40"/>
        <v>6271.9071717171728</v>
      </c>
      <c r="Q153" s="56">
        <f t="shared" ca="1" si="40"/>
        <v>13634.580808080811</v>
      </c>
      <c r="R153" s="59">
        <f t="shared" ref="R153" ca="1" si="41">SUM(E153:Q153)</f>
        <v>107985.88000000003</v>
      </c>
      <c r="S153" s="12"/>
    </row>
    <row r="154" spans="1:19" x14ac:dyDescent="0.25">
      <c r="A154" s="75"/>
      <c r="S154" s="12"/>
    </row>
    <row r="155" spans="1:19" s="58" customFormat="1" ht="15.75" x14ac:dyDescent="0.25">
      <c r="A155" s="85" t="s">
        <v>575</v>
      </c>
      <c r="C155" s="59"/>
      <c r="D155" s="59"/>
      <c r="F155" s="61"/>
      <c r="G155" s="61"/>
      <c r="H155" s="60"/>
      <c r="I155" s="62"/>
      <c r="J155" s="61"/>
      <c r="L155" s="61"/>
      <c r="N155" s="61"/>
      <c r="O155" s="61"/>
      <c r="P155" s="61"/>
      <c r="Q155" s="62"/>
      <c r="R155" s="59"/>
      <c r="S155" s="62"/>
    </row>
    <row r="156" spans="1:19" s="58" customFormat="1" x14ac:dyDescent="0.25">
      <c r="A156" s="86" t="s">
        <v>500</v>
      </c>
      <c r="C156" s="59"/>
      <c r="D156" s="59"/>
      <c r="F156" s="61"/>
      <c r="G156" s="61"/>
      <c r="H156" s="60"/>
      <c r="I156" s="62"/>
      <c r="J156" s="61"/>
      <c r="L156" s="61"/>
      <c r="N156" s="61"/>
      <c r="O156" s="61"/>
      <c r="P156" s="61"/>
      <c r="Q156" s="62"/>
      <c r="R156" s="59"/>
      <c r="S156" s="62"/>
    </row>
    <row r="157" spans="1:19" s="58" customFormat="1" x14ac:dyDescent="0.25">
      <c r="A157" s="87" t="s">
        <v>453</v>
      </c>
      <c r="C157" s="59"/>
      <c r="D157" s="59"/>
      <c r="F157" s="61"/>
      <c r="G157" s="61"/>
      <c r="H157" s="60"/>
      <c r="I157" s="62"/>
      <c r="J157" s="61"/>
      <c r="L157" s="61"/>
      <c r="N157" s="61"/>
      <c r="O157" s="61"/>
      <c r="P157" s="61"/>
      <c r="Q157" s="62"/>
      <c r="R157" s="59"/>
      <c r="S157" s="62"/>
    </row>
    <row r="158" spans="1:19" s="58" customFormat="1" x14ac:dyDescent="0.25">
      <c r="A158" s="87" t="s">
        <v>576</v>
      </c>
      <c r="B158" s="58" t="s">
        <v>577</v>
      </c>
      <c r="C158" s="39">
        <f>VLOOKUP(A158,[1]Data!$R$14:$AG$570,16,FALSE)</f>
        <v>339268.56</v>
      </c>
      <c r="D158" s="39">
        <f t="shared" ref="D158" si="42">+C158/$C$23*12</f>
        <v>370111.15636363637</v>
      </c>
      <c r="F158" s="61"/>
      <c r="G158" s="61"/>
      <c r="H158" s="60"/>
      <c r="I158" s="62"/>
      <c r="J158" s="61"/>
      <c r="L158" s="61"/>
      <c r="N158" s="61"/>
      <c r="O158" s="61"/>
      <c r="P158" s="61"/>
      <c r="Q158" s="62"/>
      <c r="R158" s="59"/>
      <c r="S158" s="62"/>
    </row>
    <row r="159" spans="1:19" s="58" customFormat="1" x14ac:dyDescent="0.25">
      <c r="A159" s="88"/>
      <c r="C159" s="59"/>
      <c r="D159" s="59"/>
      <c r="F159" s="61"/>
      <c r="G159" s="61"/>
      <c r="H159" s="60"/>
      <c r="I159" s="62"/>
      <c r="J159" s="61"/>
      <c r="L159" s="61"/>
      <c r="N159" s="61"/>
      <c r="O159" s="61"/>
      <c r="P159" s="61"/>
      <c r="Q159" s="62"/>
      <c r="R159" s="59"/>
      <c r="S159" s="62"/>
    </row>
    <row r="160" spans="1:19" ht="15.75" x14ac:dyDescent="0.25">
      <c r="A160" s="71" t="s">
        <v>578</v>
      </c>
      <c r="S160" s="12"/>
    </row>
    <row r="161" spans="1:19" x14ac:dyDescent="0.25">
      <c r="A161" s="72" t="s">
        <v>500</v>
      </c>
      <c r="S161" s="12"/>
    </row>
    <row r="162" spans="1:19" x14ac:dyDescent="0.25">
      <c r="A162" s="73" t="s">
        <v>453</v>
      </c>
      <c r="S162" s="12"/>
    </row>
    <row r="163" spans="1:19" x14ac:dyDescent="0.25">
      <c r="A163" s="73" t="s">
        <v>579</v>
      </c>
      <c r="B163" t="s">
        <v>580</v>
      </c>
      <c r="C163" s="39">
        <f>VLOOKUP(A163,[1]Data!$R$14:$AG$570,16,FALSE)</f>
        <v>168781.64</v>
      </c>
      <c r="D163" s="39">
        <f t="shared" ref="D163:D164" si="43">+C163/$C$23*12</f>
        <v>184125.42545454548</v>
      </c>
      <c r="E163" s="56">
        <f ca="1">+$D$163*E5/($R$5)</f>
        <v>23334.454887937543</v>
      </c>
      <c r="F163" s="56">
        <f ca="1">+$D$163*F5/($R$5)</f>
        <v>2550.2136489549234</v>
      </c>
      <c r="G163" s="56">
        <f ca="1">+$D$163*G5/($R$5)</f>
        <v>2550.2136489549234</v>
      </c>
      <c r="H163" s="56">
        <f ca="1">+$D$163*H5/($R$5)</f>
        <v>31750.1599294888</v>
      </c>
      <c r="I163" s="56"/>
      <c r="J163" s="56">
        <f t="shared" ref="J163:Q163" ca="1" si="44">+$D$163*J5/($R$5)</f>
        <v>25502.136489549237</v>
      </c>
      <c r="K163" s="56">
        <f t="shared" ca="1" si="44"/>
        <v>28052.350138504156</v>
      </c>
      <c r="L163" s="56">
        <f t="shared" ca="1" si="44"/>
        <v>10200.854595819694</v>
      </c>
      <c r="M163" s="56">
        <f t="shared" ca="1" si="44"/>
        <v>20401.709191639387</v>
      </c>
      <c r="N163" s="56">
        <f t="shared" ca="1" si="44"/>
        <v>5100.4272979098469</v>
      </c>
      <c r="O163" s="56">
        <f t="shared" ca="1" si="44"/>
        <v>10200.854595819694</v>
      </c>
      <c r="P163" s="56">
        <f t="shared" ca="1" si="44"/>
        <v>11730.982785192647</v>
      </c>
      <c r="Q163" s="56">
        <f t="shared" ca="1" si="44"/>
        <v>25502.136489549237</v>
      </c>
      <c r="R163" s="59">
        <f t="shared" ref="R163:R164" ca="1" si="45">SUM(E163:Q163)</f>
        <v>196876.4936993201</v>
      </c>
      <c r="S163" s="12"/>
    </row>
    <row r="164" spans="1:19" x14ac:dyDescent="0.25">
      <c r="A164" s="73" t="s">
        <v>581</v>
      </c>
      <c r="B164" t="s">
        <v>582</v>
      </c>
      <c r="C164" s="39">
        <f>VLOOKUP(A164,[1]Data!$R$14:$AG$570,16,FALSE)</f>
        <v>21206.13</v>
      </c>
      <c r="D164" s="39">
        <f t="shared" si="43"/>
        <v>23133.960000000003</v>
      </c>
      <c r="I164" s="57">
        <f ca="1">+$D$164/7*I5</f>
        <v>6609.7028571428582</v>
      </c>
      <c r="R164" s="59">
        <f t="shared" ca="1" si="45"/>
        <v>6609.7028571428582</v>
      </c>
      <c r="S164" s="12"/>
    </row>
    <row r="165" spans="1:19" ht="15.75" x14ac:dyDescent="0.25">
      <c r="A165" s="71" t="s">
        <v>585</v>
      </c>
      <c r="S165" s="12"/>
    </row>
    <row r="166" spans="1:19" x14ac:dyDescent="0.25">
      <c r="A166" s="72" t="s">
        <v>500</v>
      </c>
      <c r="S166" s="12"/>
    </row>
    <row r="167" spans="1:19" x14ac:dyDescent="0.25">
      <c r="A167" s="73" t="s">
        <v>453</v>
      </c>
      <c r="S167" s="12"/>
    </row>
    <row r="168" spans="1:19" x14ac:dyDescent="0.25">
      <c r="A168" s="89" t="s">
        <v>586</v>
      </c>
      <c r="B168" s="14" t="s">
        <v>587</v>
      </c>
      <c r="C168" s="39">
        <f>VLOOKUP(A168,[1]Data!$R$14:$AG$570,16,FALSE)</f>
        <v>302419.49</v>
      </c>
      <c r="D168" s="39">
        <f>+C168</f>
        <v>302419.49</v>
      </c>
      <c r="E168" s="78">
        <f t="shared" ref="E168:Q168" ca="1" si="46">+$D$168/$T$5*E5</f>
        <v>34938.615321969693</v>
      </c>
      <c r="F168" s="78">
        <f t="shared" ca="1" si="46"/>
        <v>3818.4279040404044</v>
      </c>
      <c r="G168" s="78">
        <f t="shared" ca="1" si="46"/>
        <v>3818.4279040404044</v>
      </c>
      <c r="H168" s="78">
        <f t="shared" ca="1" si="46"/>
        <v>47539.427405303039</v>
      </c>
      <c r="I168" s="78">
        <f t="shared" ca="1" si="46"/>
        <v>7636.8558080808089</v>
      </c>
      <c r="J168" s="78">
        <f t="shared" ca="1" si="46"/>
        <v>38184.279040404042</v>
      </c>
      <c r="K168" s="78">
        <f t="shared" ca="1" si="46"/>
        <v>42002.70694444445</v>
      </c>
      <c r="L168" s="78">
        <f t="shared" ca="1" si="46"/>
        <v>15273.711616161618</v>
      </c>
      <c r="M168" s="78">
        <f t="shared" ca="1" si="46"/>
        <v>30547.423232323235</v>
      </c>
      <c r="N168" s="78">
        <f t="shared" ca="1" si="46"/>
        <v>7636.8558080808089</v>
      </c>
      <c r="O168" s="78">
        <f t="shared" ca="1" si="46"/>
        <v>15273.711616161618</v>
      </c>
      <c r="P168" s="78">
        <f t="shared" ca="1" si="46"/>
        <v>17564.768358585858</v>
      </c>
      <c r="Q168" s="78">
        <f t="shared" ca="1" si="46"/>
        <v>38184.279040404042</v>
      </c>
      <c r="R168" s="59">
        <f t="shared" ref="R168" ca="1" si="47">SUM(E168:Q168)</f>
        <v>302419.49</v>
      </c>
      <c r="S168" s="15"/>
    </row>
    <row r="169" spans="1:19" ht="15.75" x14ac:dyDescent="0.25">
      <c r="A169" s="55"/>
      <c r="E169" s="106">
        <f t="shared" ref="E169:N169" ca="1" si="48">SUM(E147:E168)</f>
        <v>75138.443054259842</v>
      </c>
      <c r="F169" s="106">
        <f t="shared" ca="1" si="48"/>
        <v>8211.8516999191124</v>
      </c>
      <c r="G169" s="106">
        <f t="shared" ca="1" si="48"/>
        <v>8211.8516999191124</v>
      </c>
      <c r="H169" s="106">
        <f t="shared" ca="1" si="48"/>
        <v>102237.55366399295</v>
      </c>
      <c r="I169" s="106">
        <f t="shared" ca="1" si="48"/>
        <v>17932.978959071232</v>
      </c>
      <c r="J169" s="106">
        <f t="shared" ca="1" si="48"/>
        <v>82118.51699919111</v>
      </c>
      <c r="K169" s="106">
        <f t="shared" ca="1" si="48"/>
        <v>90330.368699110229</v>
      </c>
      <c r="L169" s="106">
        <f t="shared" ca="1" si="48"/>
        <v>32847.40679967645</v>
      </c>
      <c r="M169" s="106">
        <f t="shared" ca="1" si="48"/>
        <v>65694.813599352899</v>
      </c>
      <c r="N169" s="106">
        <f t="shared" ca="1" si="48"/>
        <v>16423.703399838225</v>
      </c>
      <c r="O169" s="106">
        <f t="shared" ref="O169" ca="1" si="49">SUM(O147:O168)</f>
        <v>32847.40679967645</v>
      </c>
      <c r="P169" s="106">
        <f ca="1">SUM(P147:P168)</f>
        <v>37774.517819627916</v>
      </c>
      <c r="Q169" s="106">
        <f ca="1">SUM(Q147:Q168)</f>
        <v>82118.51699919111</v>
      </c>
      <c r="S169"/>
    </row>
    <row r="170" spans="1:19" x14ac:dyDescent="0.25">
      <c r="S170"/>
    </row>
    <row r="171" spans="1:19" x14ac:dyDescent="0.25">
      <c r="S171"/>
    </row>
    <row r="172" spans="1:19" x14ac:dyDescent="0.25">
      <c r="S172"/>
    </row>
    <row r="173" spans="1:19" x14ac:dyDescent="0.25">
      <c r="S173"/>
    </row>
    <row r="174" spans="1:19" x14ac:dyDescent="0.25">
      <c r="S174"/>
    </row>
    <row r="175" spans="1:19" x14ac:dyDescent="0.25">
      <c r="S175"/>
    </row>
    <row r="176" spans="1:19" x14ac:dyDescent="0.25">
      <c r="S176"/>
    </row>
    <row r="177" spans="19:19" x14ac:dyDescent="0.25">
      <c r="S177"/>
    </row>
    <row r="178" spans="19:19" x14ac:dyDescent="0.25">
      <c r="S178"/>
    </row>
    <row r="179" spans="19:19" x14ac:dyDescent="0.25">
      <c r="S179"/>
    </row>
    <row r="180" spans="19:19" x14ac:dyDescent="0.25">
      <c r="S180"/>
    </row>
    <row r="181" spans="19:19" x14ac:dyDescent="0.25">
      <c r="S181"/>
    </row>
    <row r="182" spans="19:19" x14ac:dyDescent="0.25">
      <c r="S182"/>
    </row>
    <row r="183" spans="19:19" x14ac:dyDescent="0.25">
      <c r="S183"/>
    </row>
    <row r="184" spans="19:19" x14ac:dyDescent="0.25">
      <c r="S184"/>
    </row>
    <row r="185" spans="19:19" x14ac:dyDescent="0.25">
      <c r="S185"/>
    </row>
    <row r="186" spans="19:19" x14ac:dyDescent="0.25">
      <c r="S186"/>
    </row>
    <row r="187" spans="19:19" x14ac:dyDescent="0.25">
      <c r="S187"/>
    </row>
    <row r="188" spans="19:19" x14ac:dyDescent="0.25">
      <c r="S188"/>
    </row>
    <row r="189" spans="19:19" x14ac:dyDescent="0.25">
      <c r="S189"/>
    </row>
    <row r="190" spans="19:19" x14ac:dyDescent="0.25">
      <c r="S190"/>
    </row>
    <row r="191" spans="19:19" x14ac:dyDescent="0.25">
      <c r="S191"/>
    </row>
    <row r="192" spans="19:19" x14ac:dyDescent="0.25">
      <c r="S192"/>
    </row>
    <row r="193" spans="19:19" x14ac:dyDescent="0.25">
      <c r="S193"/>
    </row>
    <row r="194" spans="19:19" x14ac:dyDescent="0.25">
      <c r="S194"/>
    </row>
    <row r="195" spans="19:19" x14ac:dyDescent="0.25">
      <c r="S19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B31"/>
  <sheetViews>
    <sheetView workbookViewId="0">
      <selection activeCell="D30" sqref="D29:D30"/>
    </sheetView>
  </sheetViews>
  <sheetFormatPr defaultRowHeight="15" x14ac:dyDescent="0.25"/>
  <cols>
    <col min="1" max="1" width="12.7109375" bestFit="1" customWidth="1"/>
    <col min="2" max="2" width="29.140625" bestFit="1" customWidth="1"/>
    <col min="4" max="4" width="12" bestFit="1" customWidth="1"/>
    <col min="14" max="14" width="15" bestFit="1" customWidth="1"/>
    <col min="15" max="15" width="14.140625" bestFit="1" customWidth="1"/>
    <col min="16" max="16" width="10.5703125" customWidth="1"/>
    <col min="17" max="17" width="15.42578125" bestFit="1" customWidth="1"/>
    <col min="18" max="18" width="10.140625" bestFit="1" customWidth="1"/>
    <col min="19" max="19" width="10.42578125" customWidth="1"/>
    <col min="21" max="21" width="10.140625" bestFit="1" customWidth="1"/>
    <col min="26" max="26" width="11.7109375" bestFit="1" customWidth="1"/>
    <col min="27" max="27" width="8.5703125" bestFit="1" customWidth="1"/>
    <col min="28" max="28" width="13.85546875" bestFit="1" customWidth="1"/>
  </cols>
  <sheetData>
    <row r="2" spans="1:28" ht="30" x14ac:dyDescent="0.25">
      <c r="A2" s="6" t="s">
        <v>1107</v>
      </c>
      <c r="F2" t="s">
        <v>483</v>
      </c>
      <c r="G2" s="30" t="s">
        <v>484</v>
      </c>
      <c r="H2" s="30" t="s">
        <v>485</v>
      </c>
      <c r="I2" s="30" t="s">
        <v>486</v>
      </c>
      <c r="J2" s="30" t="s">
        <v>1562</v>
      </c>
      <c r="K2" s="30" t="s">
        <v>488</v>
      </c>
      <c r="L2" s="30" t="s">
        <v>489</v>
      </c>
      <c r="M2" s="30" t="s">
        <v>490</v>
      </c>
      <c r="N2" s="30" t="s">
        <v>491</v>
      </c>
      <c r="O2" s="30" t="s">
        <v>453</v>
      </c>
      <c r="P2" s="36" t="s">
        <v>481</v>
      </c>
      <c r="Q2" s="31" t="s">
        <v>480</v>
      </c>
    </row>
    <row r="3" spans="1:28" x14ac:dyDescent="0.25">
      <c r="A3" s="115" t="s">
        <v>812</v>
      </c>
      <c r="B3" s="115" t="s">
        <v>813</v>
      </c>
      <c r="C3" s="115" t="s">
        <v>814</v>
      </c>
      <c r="D3" s="119">
        <v>56056</v>
      </c>
      <c r="E3" s="7"/>
      <c r="F3" s="7">
        <f>+D3*12</f>
        <v>672672</v>
      </c>
      <c r="G3" s="114">
        <f>+D3</f>
        <v>56056</v>
      </c>
      <c r="H3" s="7">
        <v>11000</v>
      </c>
      <c r="I3" s="7">
        <f t="shared" ref="I3:I4" si="0">177.01*12</f>
        <v>2124.12</v>
      </c>
      <c r="J3" s="7">
        <f>+F3*(0.08+0.033)</f>
        <v>76011.936000000002</v>
      </c>
      <c r="K3" s="7">
        <f>+F3*0.01</f>
        <v>6726.72</v>
      </c>
      <c r="L3" s="7">
        <v>36</v>
      </c>
      <c r="M3" s="7">
        <f>172*12</f>
        <v>2064</v>
      </c>
      <c r="N3" s="7">
        <f>+F3*0.01</f>
        <v>6726.72</v>
      </c>
      <c r="O3" s="38">
        <f>SUM(F3:N3)</f>
        <v>833417.49599999993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38">
        <f>+O3</f>
        <v>833417.49599999993</v>
      </c>
    </row>
    <row r="4" spans="1:28" x14ac:dyDescent="0.25">
      <c r="A4" s="109" t="s">
        <v>1559</v>
      </c>
      <c r="B4" s="109" t="s">
        <v>822</v>
      </c>
      <c r="C4" s="109" t="s">
        <v>1560</v>
      </c>
      <c r="D4" s="119">
        <v>50000</v>
      </c>
      <c r="E4" s="7"/>
      <c r="F4" s="7">
        <f>+D4*12</f>
        <v>600000</v>
      </c>
      <c r="G4" s="114">
        <f>+D4</f>
        <v>50000</v>
      </c>
      <c r="H4" s="7">
        <v>11000</v>
      </c>
      <c r="I4" s="7">
        <f t="shared" si="0"/>
        <v>2124.12</v>
      </c>
      <c r="J4" s="7">
        <f>+F4*(0.08+0.033)</f>
        <v>67800</v>
      </c>
      <c r="K4" s="7">
        <f>+F4*0.01</f>
        <v>6000</v>
      </c>
      <c r="L4" s="7">
        <v>37</v>
      </c>
      <c r="M4" s="7">
        <f>172*12</f>
        <v>2064</v>
      </c>
      <c r="N4" s="7">
        <f>+F4*0.01</f>
        <v>6000</v>
      </c>
      <c r="O4" s="38">
        <f>SUM(F4:N4)</f>
        <v>745025.12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38">
        <f>+O4</f>
        <v>745025.12</v>
      </c>
    </row>
    <row r="5" spans="1:28" x14ac:dyDescent="0.25">
      <c r="A5" s="110"/>
      <c r="B5" s="110"/>
      <c r="C5" s="110"/>
      <c r="D5" s="111"/>
      <c r="G5" s="29"/>
      <c r="O5" s="39"/>
      <c r="AB5" s="59">
        <f>SUM(AB3:AB4)</f>
        <v>1578442.6159999999</v>
      </c>
    </row>
    <row r="6" spans="1:28" ht="30" x14ac:dyDescent="0.25">
      <c r="A6" s="118" t="s">
        <v>493</v>
      </c>
      <c r="N6" s="40"/>
      <c r="P6" s="29"/>
      <c r="Q6" s="30" t="s">
        <v>483</v>
      </c>
      <c r="R6" s="30" t="s">
        <v>484</v>
      </c>
      <c r="S6" s="30" t="s">
        <v>485</v>
      </c>
      <c r="T6" s="30" t="s">
        <v>486</v>
      </c>
      <c r="U6" s="30" t="s">
        <v>487</v>
      </c>
      <c r="V6" s="30" t="s">
        <v>488</v>
      </c>
      <c r="W6" s="30" t="s">
        <v>489</v>
      </c>
      <c r="X6" s="30" t="s">
        <v>490</v>
      </c>
      <c r="Y6" s="30" t="s">
        <v>491</v>
      </c>
      <c r="Z6" s="30" t="s">
        <v>453</v>
      </c>
      <c r="AA6" s="36" t="s">
        <v>481</v>
      </c>
      <c r="AB6" s="31" t="s">
        <v>480</v>
      </c>
    </row>
    <row r="7" spans="1:28" x14ac:dyDescent="0.25">
      <c r="A7" s="110" t="s">
        <v>1109</v>
      </c>
      <c r="N7" s="40"/>
      <c r="O7" s="29"/>
      <c r="P7" s="29"/>
      <c r="Q7" s="30"/>
      <c r="R7" s="30"/>
      <c r="S7" s="30"/>
      <c r="T7" s="30"/>
      <c r="U7" s="30"/>
      <c r="V7" s="30"/>
      <c r="W7" s="30"/>
      <c r="X7" s="30"/>
      <c r="Y7" s="30"/>
      <c r="Z7" s="30"/>
      <c r="AA7" s="36"/>
      <c r="AB7" s="31"/>
    </row>
    <row r="8" spans="1:28" x14ac:dyDescent="0.25">
      <c r="A8" s="116"/>
      <c r="B8" s="115" t="s">
        <v>815</v>
      </c>
      <c r="C8" s="115" t="s">
        <v>816</v>
      </c>
      <c r="D8" s="112">
        <v>29593</v>
      </c>
      <c r="E8" s="7"/>
      <c r="F8" s="7">
        <f>+D8*12</f>
        <v>355116</v>
      </c>
      <c r="G8" s="114">
        <f>+D8</f>
        <v>29593</v>
      </c>
      <c r="H8" s="7">
        <v>11000</v>
      </c>
      <c r="I8" s="7">
        <f>177.01*12</f>
        <v>2124.12</v>
      </c>
      <c r="J8" s="7">
        <f>+F8*(0.08+0.033)</f>
        <v>40128.108</v>
      </c>
      <c r="K8" s="7">
        <f>+F8*0.01</f>
        <v>3551.16</v>
      </c>
      <c r="L8" s="7">
        <v>36</v>
      </c>
      <c r="M8" s="7">
        <f>172*12</f>
        <v>2064</v>
      </c>
      <c r="N8" s="7">
        <f>+F8*0.01</f>
        <v>3551.16</v>
      </c>
      <c r="O8" s="38">
        <f>SUM(F8:N8)</f>
        <v>447163.54799999995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38">
        <f>+O8</f>
        <v>447163.54799999995</v>
      </c>
    </row>
    <row r="9" spans="1:28" x14ac:dyDescent="0.25">
      <c r="A9" s="175"/>
      <c r="B9" s="175" t="s">
        <v>1017</v>
      </c>
      <c r="C9" s="175" t="s">
        <v>1017</v>
      </c>
      <c r="D9" s="112">
        <v>16072</v>
      </c>
      <c r="E9" s="7"/>
      <c r="F9" s="7">
        <f>+D9*12</f>
        <v>192864</v>
      </c>
      <c r="G9" s="114">
        <f>+D9</f>
        <v>16072</v>
      </c>
      <c r="H9" s="7">
        <v>11000</v>
      </c>
      <c r="I9" s="7">
        <f t="shared" ref="I9:I10" si="1">177.01*12</f>
        <v>2124.12</v>
      </c>
      <c r="J9" s="7">
        <f>+F9*(0.08+0.033)</f>
        <v>21793.632000000001</v>
      </c>
      <c r="K9" s="7">
        <f>+F9*0.01</f>
        <v>1928.64</v>
      </c>
      <c r="L9" s="7">
        <v>36</v>
      </c>
      <c r="M9" s="7">
        <f>172*12</f>
        <v>2064</v>
      </c>
      <c r="N9" s="7">
        <f>+F9*0.01</f>
        <v>1928.64</v>
      </c>
      <c r="O9" s="38">
        <f>SUM(F9:N9)</f>
        <v>249811.03200000004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38">
        <f t="shared" ref="AB9:AB10" si="2">+O9</f>
        <v>249811.03200000004</v>
      </c>
    </row>
    <row r="10" spans="1:28" x14ac:dyDescent="0.25">
      <c r="A10" s="175"/>
      <c r="B10" s="175"/>
      <c r="C10" s="7" t="s">
        <v>1561</v>
      </c>
      <c r="D10" s="112">
        <v>45000</v>
      </c>
      <c r="E10" s="7"/>
      <c r="F10" s="7">
        <f>+D10*12</f>
        <v>540000</v>
      </c>
      <c r="G10" s="114">
        <f>+D10</f>
        <v>45000</v>
      </c>
      <c r="H10" s="7">
        <v>11000</v>
      </c>
      <c r="I10" s="7">
        <f t="shared" si="1"/>
        <v>2124.12</v>
      </c>
      <c r="J10" s="7">
        <f>+F10*(0.08+0.033)</f>
        <v>61020</v>
      </c>
      <c r="K10" s="7">
        <f>+F10*0.01</f>
        <v>5400</v>
      </c>
      <c r="L10" s="7">
        <v>36</v>
      </c>
      <c r="M10" s="7">
        <f>172*12</f>
        <v>2064</v>
      </c>
      <c r="N10" s="7">
        <f>+F10*0.01</f>
        <v>5400</v>
      </c>
      <c r="O10" s="38">
        <f>SUM(F10:N10)</f>
        <v>672044.12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38">
        <f t="shared" si="2"/>
        <v>672044.12</v>
      </c>
    </row>
    <row r="11" spans="1:28" x14ac:dyDescent="0.25">
      <c r="A11" s="175"/>
      <c r="B11" s="17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5">
      <c r="A12" s="7" t="s">
        <v>1108</v>
      </c>
      <c r="B12" s="7"/>
      <c r="C12" s="7"/>
      <c r="D12" s="7"/>
      <c r="E12" s="7"/>
      <c r="F12" s="7"/>
      <c r="G12" s="7"/>
      <c r="H12" s="113"/>
      <c r="I12" s="7"/>
      <c r="J12" s="7"/>
      <c r="K12" s="113"/>
      <c r="L12" s="7"/>
      <c r="M12" s="7"/>
      <c r="N12" s="43"/>
      <c r="O12" s="63" t="s">
        <v>482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3"/>
      <c r="AB12" s="114"/>
    </row>
    <row r="13" spans="1:28" x14ac:dyDescent="0.25">
      <c r="A13" s="6" t="s">
        <v>1419</v>
      </c>
      <c r="B13" t="s">
        <v>184</v>
      </c>
      <c r="C13" s="7" t="s">
        <v>850</v>
      </c>
      <c r="D13" s="7">
        <f>VLOOKUP(A13,Sheet1!$A$81:$D$88,4,FALSE)</f>
        <v>66.930000000000007</v>
      </c>
      <c r="E13" s="7"/>
      <c r="F13" s="7"/>
      <c r="G13" s="7"/>
      <c r="H13" s="113"/>
      <c r="I13" s="7"/>
      <c r="J13" s="7"/>
      <c r="K13" s="113"/>
      <c r="L13" s="7"/>
      <c r="M13" s="7"/>
      <c r="N13" s="43"/>
      <c r="O13" s="114"/>
      <c r="P13" s="114"/>
      <c r="Q13" s="114"/>
      <c r="R13" s="114"/>
      <c r="S13" s="114"/>
      <c r="T13" s="114"/>
      <c r="U13" s="114" t="s">
        <v>854</v>
      </c>
      <c r="V13" s="114"/>
      <c r="W13" s="114"/>
      <c r="X13" s="114"/>
      <c r="Y13" s="114"/>
      <c r="Z13" s="114"/>
      <c r="AA13" s="113"/>
      <c r="AB13" s="114"/>
    </row>
    <row r="14" spans="1:28" x14ac:dyDescent="0.25">
      <c r="A14" t="s">
        <v>949</v>
      </c>
      <c r="B14" s="6" t="s">
        <v>950</v>
      </c>
      <c r="C14" t="s">
        <v>951</v>
      </c>
      <c r="D14" s="7">
        <f>VLOOKUP(A14,Sheet1!$A$81:$D$88,4,FALSE)</f>
        <v>72.849999999999994</v>
      </c>
      <c r="E14" s="7"/>
      <c r="F14" s="7"/>
      <c r="G14" s="7"/>
      <c r="H14" s="113"/>
      <c r="I14" s="7"/>
      <c r="J14" s="7"/>
      <c r="K14" s="113"/>
      <c r="L14" s="7"/>
      <c r="M14" s="7"/>
      <c r="N14" s="43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3"/>
      <c r="AB14" s="114"/>
    </row>
    <row r="15" spans="1:28" x14ac:dyDescent="0.25">
      <c r="A15" s="7" t="s">
        <v>326</v>
      </c>
      <c r="B15" s="208" t="s">
        <v>328</v>
      </c>
      <c r="C15" s="7" t="s">
        <v>852</v>
      </c>
      <c r="D15" s="7">
        <f>VLOOKUP(A15,Sheet1!$A$81:$D$88,4,FALSE)</f>
        <v>75.430000000000007</v>
      </c>
      <c r="E15" s="7"/>
      <c r="F15" s="7"/>
      <c r="G15" s="7"/>
      <c r="H15" s="113"/>
      <c r="I15" s="7"/>
      <c r="J15" s="7"/>
      <c r="K15" s="113"/>
      <c r="L15" s="7"/>
      <c r="M15" s="7"/>
      <c r="N15" s="43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3"/>
      <c r="AB15" s="114"/>
    </row>
    <row r="16" spans="1:28" x14ac:dyDescent="0.25">
      <c r="A16" t="s">
        <v>952</v>
      </c>
      <c r="B16" s="6" t="s">
        <v>953</v>
      </c>
      <c r="C16" t="s">
        <v>951</v>
      </c>
      <c r="D16" s="7">
        <f>VLOOKUP(A16,Sheet1!$A$81:$D$88,4,FALSE)</f>
        <v>66.930000000000007</v>
      </c>
      <c r="E16" s="7"/>
      <c r="F16" s="7"/>
      <c r="G16" s="7"/>
      <c r="H16" s="113"/>
      <c r="I16" s="7"/>
      <c r="J16" s="7"/>
      <c r="K16" s="113"/>
      <c r="L16" s="7"/>
      <c r="M16" s="7"/>
      <c r="N16" s="43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3"/>
      <c r="AB16" s="114"/>
    </row>
    <row r="17" spans="1:28" x14ac:dyDescent="0.25">
      <c r="A17" s="7" t="s">
        <v>54</v>
      </c>
      <c r="B17" s="208" t="s">
        <v>56</v>
      </c>
      <c r="C17" s="7" t="s">
        <v>849</v>
      </c>
      <c r="D17" s="7">
        <f>VLOOKUP(A17,Sheet1!$A$81:$D$88,4,FALSE)</f>
        <v>109.2</v>
      </c>
      <c r="E17" s="7"/>
      <c r="F17" s="7"/>
      <c r="G17" s="7"/>
      <c r="H17" s="113"/>
      <c r="I17" s="7"/>
      <c r="J17" s="7"/>
      <c r="K17" s="113"/>
      <c r="L17" s="7"/>
      <c r="M17" s="7"/>
      <c r="N17" s="43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3"/>
      <c r="AB17" s="114"/>
    </row>
    <row r="18" spans="1:28" x14ac:dyDescent="0.25">
      <c r="A18" t="s">
        <v>269</v>
      </c>
      <c r="B18" t="s">
        <v>1481</v>
      </c>
      <c r="C18" s="7" t="s">
        <v>851</v>
      </c>
      <c r="D18" s="7">
        <f>VLOOKUP(A18,Sheet1!$A$81:$D$88,4,FALSE)</f>
        <v>81.61</v>
      </c>
      <c r="E18" s="7"/>
      <c r="F18" s="7"/>
      <c r="G18" s="7"/>
      <c r="H18" s="113"/>
      <c r="I18" s="7"/>
      <c r="J18" s="7"/>
      <c r="K18" s="113"/>
      <c r="L18" s="7"/>
      <c r="M18" s="7"/>
      <c r="N18" s="43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3"/>
      <c r="AB18" s="114"/>
    </row>
    <row r="19" spans="1:28" x14ac:dyDescent="0.25">
      <c r="A19" t="s">
        <v>1530</v>
      </c>
      <c r="B19" t="s">
        <v>1531</v>
      </c>
      <c r="C19" s="7"/>
      <c r="D19" s="7">
        <f>VLOOKUP(A19,Sheet1!$A$81:$D$88,4,FALSE)</f>
        <v>66.930000000000007</v>
      </c>
      <c r="E19" s="7"/>
      <c r="F19" s="7"/>
      <c r="G19" s="7"/>
      <c r="H19" s="113"/>
      <c r="I19" s="7"/>
      <c r="J19" s="7"/>
      <c r="K19" s="113"/>
      <c r="L19" s="7"/>
      <c r="M19" s="7"/>
      <c r="N19" s="43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3"/>
      <c r="AB19" s="114"/>
    </row>
    <row r="20" spans="1:28" x14ac:dyDescent="0.25">
      <c r="A20" t="s">
        <v>1528</v>
      </c>
      <c r="B20" t="s">
        <v>1418</v>
      </c>
      <c r="C20" s="7" t="s">
        <v>851</v>
      </c>
      <c r="D20" s="7">
        <f>VLOOKUP(A20,Sheet1!$A$81:$D$88,4,FALSE)</f>
        <v>66.930000000000007</v>
      </c>
      <c r="E20" s="7"/>
      <c r="F20" s="7"/>
      <c r="G20" s="7"/>
      <c r="H20" s="113"/>
      <c r="I20" s="7"/>
      <c r="J20" s="7"/>
      <c r="K20" s="113"/>
      <c r="L20" s="7"/>
      <c r="M20" s="7"/>
      <c r="N20" s="43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3"/>
      <c r="AB20" s="114"/>
    </row>
    <row r="21" spans="1:28" x14ac:dyDescent="0.25">
      <c r="A21" s="7"/>
      <c r="B21" s="7"/>
      <c r="C21" s="7"/>
      <c r="D21" s="7">
        <f>SUM(D13:D20)</f>
        <v>606.80999999999995</v>
      </c>
      <c r="E21" s="7"/>
      <c r="F21" s="7"/>
      <c r="G21" s="7"/>
      <c r="H21" s="113"/>
      <c r="I21" s="7"/>
      <c r="J21" s="7"/>
      <c r="K21" s="113"/>
      <c r="L21" s="7"/>
      <c r="M21" s="7"/>
      <c r="N21" s="43"/>
      <c r="O21" s="114">
        <f>+D21</f>
        <v>606.80999999999995</v>
      </c>
      <c r="P21" s="114"/>
      <c r="Q21" s="114">
        <f>+O21*40*52</f>
        <v>1262164.7999999998</v>
      </c>
      <c r="R21" s="114">
        <f>+Q21*0.0833</f>
        <v>105138.32783999998</v>
      </c>
      <c r="S21" s="114">
        <f>+R21</f>
        <v>105138.32783999998</v>
      </c>
      <c r="T21" s="114">
        <f>+Q21*0.01</f>
        <v>12621.647999999999</v>
      </c>
      <c r="U21" s="114">
        <f>+Q21*0.083</f>
        <v>104759.67839999999</v>
      </c>
      <c r="V21" s="114">
        <f>+Q21*0.0018</f>
        <v>2271.8966399999995</v>
      </c>
      <c r="W21" s="114">
        <f>0.71*52</f>
        <v>36.92</v>
      </c>
      <c r="X21" s="114">
        <f>172*12</f>
        <v>2064</v>
      </c>
      <c r="Y21" s="114">
        <f>+(Q21+R21+S21)*0.01</f>
        <v>14724.414556799997</v>
      </c>
      <c r="Z21" s="114">
        <f>SUM(Q21:Y21)</f>
        <v>1608920.0132767996</v>
      </c>
      <c r="AA21" s="113">
        <v>0.75</v>
      </c>
      <c r="AB21" s="114">
        <f>+Z21/AA21</f>
        <v>2145226.6843690663</v>
      </c>
    </row>
    <row r="22" spans="1:28" x14ac:dyDescent="0.25">
      <c r="A22" s="110" t="s">
        <v>1110</v>
      </c>
      <c r="B22" s="7"/>
      <c r="C22" s="7"/>
      <c r="D22" s="7"/>
      <c r="E22" s="7"/>
      <c r="F22" s="7"/>
      <c r="G22" s="7"/>
      <c r="H22" s="113"/>
      <c r="I22" s="7"/>
      <c r="J22" s="7"/>
      <c r="K22" s="113"/>
      <c r="L22" s="7"/>
      <c r="M22" s="7"/>
      <c r="N22" s="43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3"/>
      <c r="AB22" s="114"/>
    </row>
    <row r="23" spans="1:28" x14ac:dyDescent="0.25">
      <c r="A23" s="115" t="s">
        <v>817</v>
      </c>
      <c r="B23" s="115" t="s">
        <v>818</v>
      </c>
      <c r="C23" s="115" t="s">
        <v>819</v>
      </c>
      <c r="D23" s="112">
        <v>21886</v>
      </c>
      <c r="E23" s="7"/>
      <c r="F23" s="7">
        <f>+D23*12</f>
        <v>262632</v>
      </c>
      <c r="G23" s="114">
        <f>+D23</f>
        <v>21886</v>
      </c>
      <c r="H23" s="7">
        <v>15000</v>
      </c>
      <c r="I23" s="7">
        <f>+F23*0.01</f>
        <v>2626.32</v>
      </c>
      <c r="J23" s="7">
        <f>+F23*0.08</f>
        <v>21010.560000000001</v>
      </c>
      <c r="K23" s="7">
        <f>+F23*0.01</f>
        <v>2626.32</v>
      </c>
      <c r="L23" s="7">
        <v>36</v>
      </c>
      <c r="M23" s="7">
        <f>172*12</f>
        <v>2064</v>
      </c>
      <c r="N23" s="7">
        <f>+F23*0.01</f>
        <v>2626.32</v>
      </c>
      <c r="O23" s="38">
        <f>SUM(F23:N23)</f>
        <v>330507.52000000002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38">
        <f>+O23</f>
        <v>330507.52000000002</v>
      </c>
    </row>
    <row r="24" spans="1:28" x14ac:dyDescent="0.25">
      <c r="AB24" s="59">
        <f>SUM(AB8:AB23)</f>
        <v>3844752.904369066</v>
      </c>
    </row>
    <row r="25" spans="1:28" x14ac:dyDescent="0.25">
      <c r="A25" s="6" t="s">
        <v>151</v>
      </c>
    </row>
    <row r="26" spans="1:28" x14ac:dyDescent="0.25">
      <c r="A26" t="s">
        <v>1429</v>
      </c>
      <c r="B26" t="s">
        <v>1430</v>
      </c>
      <c r="C26" s="7"/>
      <c r="D26" s="7">
        <v>109</v>
      </c>
      <c r="E26" s="7"/>
      <c r="F26" s="7"/>
      <c r="G26" s="114"/>
      <c r="H26" s="7"/>
      <c r="I26" s="7"/>
      <c r="J26" s="7"/>
      <c r="K26" s="7"/>
      <c r="L26" s="7"/>
      <c r="M26" s="7"/>
      <c r="N26" s="7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3"/>
      <c r="AB26" s="114"/>
    </row>
    <row r="27" spans="1:28" x14ac:dyDescent="0.25">
      <c r="A27" s="7" t="s">
        <v>1431</v>
      </c>
      <c r="B27" s="7" t="s">
        <v>1432</v>
      </c>
      <c r="C27" s="7" t="s">
        <v>151</v>
      </c>
      <c r="D27" s="7">
        <v>66.930000000000007</v>
      </c>
      <c r="E27" s="7"/>
      <c r="F27" s="7"/>
      <c r="G27" s="7"/>
      <c r="H27" s="113"/>
      <c r="I27" s="7"/>
      <c r="J27" s="7"/>
      <c r="K27" s="113"/>
      <c r="L27" s="7"/>
      <c r="M27" s="7"/>
      <c r="N27" s="43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3"/>
      <c r="AB27" s="114"/>
    </row>
    <row r="28" spans="1:28" x14ac:dyDescent="0.25">
      <c r="A28" s="7"/>
      <c r="B28" s="7"/>
      <c r="C28" s="7"/>
      <c r="D28" s="7">
        <f>SUM(D26:D27)</f>
        <v>175.93</v>
      </c>
      <c r="E28" s="7"/>
      <c r="F28" s="7"/>
      <c r="G28" s="7"/>
      <c r="H28" s="113"/>
      <c r="I28" s="7"/>
      <c r="J28" s="7"/>
      <c r="K28" s="113"/>
      <c r="L28" s="7"/>
      <c r="M28" s="7"/>
      <c r="N28" s="43">
        <v>1</v>
      </c>
      <c r="O28" s="114">
        <f>+D28</f>
        <v>175.93</v>
      </c>
      <c r="P28" s="114"/>
      <c r="Q28" s="114">
        <f>+O28*40*52</f>
        <v>365934.4</v>
      </c>
      <c r="R28" s="114">
        <f>+Q28*0.0833</f>
        <v>30482.335520000001</v>
      </c>
      <c r="S28" s="114">
        <f>+R28</f>
        <v>30482.335520000001</v>
      </c>
      <c r="T28" s="114">
        <f>+Q28*0.01</f>
        <v>3659.3440000000005</v>
      </c>
      <c r="U28" s="114">
        <f>+Q28*0.083</f>
        <v>30372.555200000003</v>
      </c>
      <c r="V28" s="114">
        <f>+Q28*0.0018</f>
        <v>658.68191999999999</v>
      </c>
      <c r="W28" s="114">
        <f>0.71*52</f>
        <v>36.92</v>
      </c>
      <c r="X28" s="114">
        <f>172*12</f>
        <v>2064</v>
      </c>
      <c r="Y28" s="114">
        <f>+(Q28+R28+S28)*0.01</f>
        <v>4268.9907104000004</v>
      </c>
      <c r="Z28" s="114">
        <f>SUM(Q28:Y28)</f>
        <v>467959.56287040003</v>
      </c>
      <c r="AA28" s="113">
        <v>1</v>
      </c>
      <c r="AB28" s="114">
        <f>+Z28/AA28</f>
        <v>467959.56287040003</v>
      </c>
    </row>
    <row r="29" spans="1:28" x14ac:dyDescent="0.25">
      <c r="AB29" s="117">
        <f>SUM(AB26:AB28)</f>
        <v>467959.56287040003</v>
      </c>
    </row>
    <row r="31" spans="1:28" x14ac:dyDescent="0.25">
      <c r="AB31" s="3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099D-9E0F-44A1-9908-A8766A343477}">
  <dimension ref="A1:E91"/>
  <sheetViews>
    <sheetView topLeftCell="A28" workbookViewId="0">
      <selection activeCell="D44" sqref="D44:D45"/>
    </sheetView>
  </sheetViews>
  <sheetFormatPr defaultRowHeight="15" x14ac:dyDescent="0.25"/>
  <cols>
    <col min="1" max="1" width="9.85546875" bestFit="1" customWidth="1"/>
    <col min="2" max="2" width="13.140625" bestFit="1" customWidth="1"/>
  </cols>
  <sheetData>
    <row r="1" spans="1:5" x14ac:dyDescent="0.25">
      <c r="A1" t="s">
        <v>37</v>
      </c>
      <c r="B1" t="s">
        <v>1458</v>
      </c>
      <c r="C1" t="s">
        <v>32</v>
      </c>
      <c r="D1">
        <v>81.61</v>
      </c>
      <c r="E1" t="str">
        <f>VLOOKUP(A1,Wages!$A$2:$A$34,1,FALSE)</f>
        <v>CON184A</v>
      </c>
    </row>
    <row r="2" spans="1:5" x14ac:dyDescent="0.25">
      <c r="A2" t="s">
        <v>71</v>
      </c>
      <c r="B2" t="s">
        <v>1462</v>
      </c>
      <c r="C2" t="s">
        <v>32</v>
      </c>
      <c r="D2">
        <v>89.52</v>
      </c>
      <c r="E2" t="str">
        <f>VLOOKUP(A2,Wages!$A$2:$A$34,1,FALSE)</f>
        <v>CON389</v>
      </c>
    </row>
    <row r="3" spans="1:5" x14ac:dyDescent="0.25">
      <c r="A3" t="s">
        <v>127</v>
      </c>
      <c r="B3" t="s">
        <v>1467</v>
      </c>
      <c r="C3" t="s">
        <v>32</v>
      </c>
      <c r="D3">
        <v>87.84</v>
      </c>
      <c r="E3" t="str">
        <f>VLOOKUP(A3,Wages!$A$2:$A$34,1,FALSE)</f>
        <v>CON469B</v>
      </c>
    </row>
    <row r="4" spans="1:5" x14ac:dyDescent="0.25">
      <c r="A4" t="s">
        <v>318</v>
      </c>
      <c r="B4" t="s">
        <v>1489</v>
      </c>
      <c r="C4" t="s">
        <v>32</v>
      </c>
      <c r="D4">
        <v>109.2</v>
      </c>
      <c r="E4" t="str">
        <f>VLOOKUP(A4,Wages!$A$2:$A$34,1,FALSE)</f>
        <v>W0000022</v>
      </c>
    </row>
    <row r="5" spans="1:5" x14ac:dyDescent="0.25">
      <c r="A5" t="s">
        <v>1400</v>
      </c>
      <c r="B5" t="s">
        <v>1510</v>
      </c>
      <c r="C5" t="s">
        <v>32</v>
      </c>
      <c r="D5">
        <v>87.84</v>
      </c>
      <c r="E5" t="str">
        <f>VLOOKUP(A5,Wages!$A$2:$A$34,1,FALSE)</f>
        <v>W0000065</v>
      </c>
    </row>
    <row r="6" spans="1:5" x14ac:dyDescent="0.25">
      <c r="A6" t="s">
        <v>1401</v>
      </c>
      <c r="B6" t="s">
        <v>1511</v>
      </c>
      <c r="C6" t="s">
        <v>32</v>
      </c>
      <c r="D6">
        <v>72.849999999999994</v>
      </c>
      <c r="E6" t="str">
        <f>VLOOKUP(A6,Wages!$A$2:$A$34,1,FALSE)</f>
        <v>W0000066</v>
      </c>
    </row>
    <row r="7" spans="1:5" x14ac:dyDescent="0.25">
      <c r="A7" t="s">
        <v>1538</v>
      </c>
      <c r="B7" t="s">
        <v>1472</v>
      </c>
      <c r="C7" t="s">
        <v>32</v>
      </c>
      <c r="D7">
        <v>72.849999999999994</v>
      </c>
      <c r="E7" t="str">
        <f>VLOOKUP(A7,Wages!$A$2:$A$34,1,FALSE)</f>
        <v>W0000083</v>
      </c>
    </row>
    <row r="8" spans="1:5" x14ac:dyDescent="0.25">
      <c r="A8" t="s">
        <v>1539</v>
      </c>
      <c r="B8" t="s">
        <v>1540</v>
      </c>
      <c r="C8" t="s">
        <v>32</v>
      </c>
      <c r="D8">
        <v>72.849999999999994</v>
      </c>
      <c r="E8" t="str">
        <f>VLOOKUP(A8,Wages!$A$2:$A$34,1,FALSE)</f>
        <v>W0000084</v>
      </c>
    </row>
    <row r="10" spans="1:5" x14ac:dyDescent="0.25">
      <c r="A10" t="s">
        <v>7</v>
      </c>
      <c r="B10" t="s">
        <v>1457</v>
      </c>
      <c r="C10" t="s">
        <v>11</v>
      </c>
      <c r="D10">
        <v>111.14</v>
      </c>
    </row>
    <row r="11" spans="1:5" x14ac:dyDescent="0.25">
      <c r="A11" t="s">
        <v>253</v>
      </c>
      <c r="B11" t="s">
        <v>1477</v>
      </c>
      <c r="C11" t="s">
        <v>11</v>
      </c>
      <c r="D11">
        <v>76.040000000000006</v>
      </c>
    </row>
    <row r="12" spans="1:5" x14ac:dyDescent="0.25">
      <c r="A12" t="s">
        <v>272</v>
      </c>
      <c r="B12" t="s">
        <v>1482</v>
      </c>
      <c r="C12" t="s">
        <v>11</v>
      </c>
      <c r="D12">
        <v>75.430000000000007</v>
      </c>
    </row>
    <row r="13" spans="1:5" x14ac:dyDescent="0.25">
      <c r="A13" t="s">
        <v>305</v>
      </c>
      <c r="B13" t="s">
        <v>1487</v>
      </c>
      <c r="C13" t="s">
        <v>11</v>
      </c>
      <c r="D13">
        <v>81.61</v>
      </c>
    </row>
    <row r="14" spans="1:5" x14ac:dyDescent="0.25">
      <c r="A14" t="s">
        <v>853</v>
      </c>
      <c r="B14" t="s">
        <v>1498</v>
      </c>
      <c r="C14" t="s">
        <v>11</v>
      </c>
      <c r="D14">
        <v>81.61</v>
      </c>
    </row>
    <row r="15" spans="1:5" x14ac:dyDescent="0.25">
      <c r="A15" t="s">
        <v>954</v>
      </c>
      <c r="B15" t="s">
        <v>1503</v>
      </c>
      <c r="C15" t="s">
        <v>11</v>
      </c>
      <c r="D15">
        <v>81.61</v>
      </c>
    </row>
    <row r="16" spans="1:5" x14ac:dyDescent="0.25">
      <c r="A16" t="s">
        <v>1105</v>
      </c>
      <c r="B16" t="s">
        <v>1509</v>
      </c>
      <c r="C16" t="s">
        <v>11</v>
      </c>
      <c r="D16">
        <v>81.61</v>
      </c>
    </row>
    <row r="17" spans="1:5" x14ac:dyDescent="0.25">
      <c r="A17" t="s">
        <v>1541</v>
      </c>
      <c r="B17" t="s">
        <v>1542</v>
      </c>
      <c r="C17" t="s">
        <v>11</v>
      </c>
      <c r="D17">
        <v>66.930000000000007</v>
      </c>
    </row>
    <row r="19" spans="1:5" x14ac:dyDescent="0.25">
      <c r="A19" t="s">
        <v>50</v>
      </c>
      <c r="B19" t="s">
        <v>1459</v>
      </c>
      <c r="C19" t="s">
        <v>20</v>
      </c>
      <c r="D19">
        <v>78.33</v>
      </c>
      <c r="E19" t="str">
        <f>VLOOKUP(A19,Wages!$A$51:$A$56,1,FALSE)</f>
        <v>CON285</v>
      </c>
    </row>
    <row r="20" spans="1:5" x14ac:dyDescent="0.25">
      <c r="A20" t="s">
        <v>59</v>
      </c>
      <c r="B20" t="s">
        <v>1461</v>
      </c>
      <c r="C20" t="s">
        <v>20</v>
      </c>
      <c r="D20">
        <v>78.33</v>
      </c>
      <c r="E20" t="str">
        <f>VLOOKUP(A20,Wages!$A$51:$A$56,1,FALSE)</f>
        <v>CON377B</v>
      </c>
    </row>
    <row r="21" spans="1:5" x14ac:dyDescent="0.25">
      <c r="A21" t="s">
        <v>124</v>
      </c>
      <c r="B21" t="s">
        <v>1466</v>
      </c>
      <c r="C21" t="s">
        <v>20</v>
      </c>
      <c r="D21">
        <v>78.33</v>
      </c>
      <c r="E21" t="str">
        <f>VLOOKUP(A21,Wages!$A$51:$A$56,1,FALSE)</f>
        <v>CON467B</v>
      </c>
    </row>
    <row r="22" spans="1:5" x14ac:dyDescent="0.25">
      <c r="A22" t="s">
        <v>167</v>
      </c>
      <c r="B22" t="s">
        <v>1469</v>
      </c>
      <c r="C22" t="s">
        <v>20</v>
      </c>
      <c r="D22">
        <v>75.430000000000007</v>
      </c>
      <c r="E22" t="str">
        <f>VLOOKUP(A22,Wages!$A$51:$A$56,1,FALSE)</f>
        <v>CON529</v>
      </c>
    </row>
    <row r="23" spans="1:5" x14ac:dyDescent="0.25">
      <c r="A23" t="s">
        <v>1522</v>
      </c>
      <c r="B23" t="s">
        <v>1523</v>
      </c>
      <c r="C23" t="s">
        <v>20</v>
      </c>
      <c r="D23">
        <v>72.849999999999994</v>
      </c>
      <c r="E23" t="str">
        <f>VLOOKUP(A23,Wages!$A$51:$A$56,1,FALSE)</f>
        <v>W0000075</v>
      </c>
    </row>
    <row r="25" spans="1:5" x14ac:dyDescent="0.25">
      <c r="A25" t="s">
        <v>113</v>
      </c>
      <c r="B25" t="s">
        <v>1464</v>
      </c>
      <c r="C25" t="s">
        <v>6</v>
      </c>
      <c r="D25">
        <v>92.77</v>
      </c>
      <c r="E25" t="str">
        <f>VLOOKUP(A25,Wages!$A$60:$A$86,1,FALSE)</f>
        <v>CON459B</v>
      </c>
    </row>
    <row r="26" spans="1:5" x14ac:dyDescent="0.25">
      <c r="A26" t="s">
        <v>122</v>
      </c>
      <c r="B26" t="s">
        <v>1465</v>
      </c>
      <c r="C26" t="s">
        <v>6</v>
      </c>
      <c r="D26">
        <v>81.61</v>
      </c>
      <c r="E26" t="str">
        <f>VLOOKUP(A26,Wages!$A$60:$A$86,1,FALSE)</f>
        <v>CON466C</v>
      </c>
    </row>
    <row r="27" spans="1:5" x14ac:dyDescent="0.25">
      <c r="A27" t="s">
        <v>133</v>
      </c>
      <c r="B27" t="s">
        <v>1468</v>
      </c>
      <c r="C27" t="s">
        <v>6</v>
      </c>
      <c r="D27">
        <v>78.33</v>
      </c>
      <c r="E27" t="str">
        <f>VLOOKUP(A27,Wages!$A$60:$A$86,1,FALSE)</f>
        <v>CON490B</v>
      </c>
    </row>
    <row r="28" spans="1:5" x14ac:dyDescent="0.25">
      <c r="A28" t="s">
        <v>174</v>
      </c>
      <c r="B28" t="s">
        <v>1471</v>
      </c>
      <c r="C28" t="s">
        <v>6</v>
      </c>
      <c r="D28">
        <v>75.430000000000007</v>
      </c>
      <c r="E28" t="str">
        <f>VLOOKUP(A28,Wages!$A$60:$A$86,1,FALSE)</f>
        <v>CON533</v>
      </c>
    </row>
    <row r="29" spans="1:5" x14ac:dyDescent="0.25">
      <c r="A29" t="s">
        <v>192</v>
      </c>
      <c r="B29" t="s">
        <v>1472</v>
      </c>
      <c r="C29" t="s">
        <v>6</v>
      </c>
      <c r="D29">
        <v>111.14</v>
      </c>
      <c r="E29" t="str">
        <f>VLOOKUP(A29,Wages!$A$60:$A$86,1,FALSE)</f>
        <v>DIF032</v>
      </c>
    </row>
    <row r="30" spans="1:5" x14ac:dyDescent="0.25">
      <c r="A30" t="s">
        <v>278</v>
      </c>
      <c r="B30" t="s">
        <v>1483</v>
      </c>
      <c r="C30" t="s">
        <v>6</v>
      </c>
      <c r="D30">
        <v>78.33</v>
      </c>
      <c r="E30" t="str">
        <f>VLOOKUP(A30,Wages!$A$60:$A$86,1,FALSE)</f>
        <v>W0000007</v>
      </c>
    </row>
    <row r="31" spans="1:5" x14ac:dyDescent="0.25">
      <c r="A31" t="s">
        <v>329</v>
      </c>
      <c r="B31" t="s">
        <v>1492</v>
      </c>
      <c r="C31" t="s">
        <v>6</v>
      </c>
      <c r="D31">
        <v>75.430000000000007</v>
      </c>
      <c r="E31" t="str">
        <f>VLOOKUP(A31,Wages!$A$60:$A$86,1,FALSE)</f>
        <v>W0000026</v>
      </c>
    </row>
    <row r="32" spans="1:5" x14ac:dyDescent="0.25">
      <c r="A32" t="s">
        <v>948</v>
      </c>
      <c r="B32" t="s">
        <v>1502</v>
      </c>
      <c r="C32" t="s">
        <v>6</v>
      </c>
      <c r="D32">
        <v>72.849999999999994</v>
      </c>
      <c r="E32" t="str">
        <f>VLOOKUP(A32,Wages!$A$60:$A$86,1,FALSE)</f>
        <v>W0000051</v>
      </c>
    </row>
    <row r="33" spans="1:5" x14ac:dyDescent="0.25">
      <c r="A33" t="s">
        <v>1524</v>
      </c>
      <c r="B33" t="s">
        <v>1525</v>
      </c>
      <c r="C33" t="s">
        <v>6</v>
      </c>
      <c r="D33">
        <v>72.849999999999994</v>
      </c>
      <c r="E33" t="str">
        <f>VLOOKUP(A33,Wages!$A$60:$A$86,1,FALSE)</f>
        <v>W0000076</v>
      </c>
    </row>
    <row r="34" spans="1:5" x14ac:dyDescent="0.25">
      <c r="A34" t="s">
        <v>1526</v>
      </c>
      <c r="B34" t="s">
        <v>1527</v>
      </c>
      <c r="C34" t="s">
        <v>6</v>
      </c>
      <c r="D34">
        <v>72.849999999999994</v>
      </c>
      <c r="E34" t="str">
        <f>VLOOKUP(A34,Wages!$A$60:$A$86,1,FALSE)</f>
        <v>W0000077</v>
      </c>
    </row>
    <row r="38" spans="1:5" x14ac:dyDescent="0.25">
      <c r="A38" t="s">
        <v>350</v>
      </c>
      <c r="B38" t="s">
        <v>1495</v>
      </c>
      <c r="C38" t="s">
        <v>304</v>
      </c>
      <c r="D38">
        <v>78.33</v>
      </c>
    </row>
    <row r="39" spans="1:5" x14ac:dyDescent="0.25">
      <c r="A39" t="s">
        <v>939</v>
      </c>
      <c r="B39" t="s">
        <v>1500</v>
      </c>
      <c r="C39" t="s">
        <v>304</v>
      </c>
      <c r="D39">
        <v>75.430000000000007</v>
      </c>
    </row>
    <row r="41" spans="1:5" x14ac:dyDescent="0.25">
      <c r="A41" t="s">
        <v>0</v>
      </c>
      <c r="B41" t="s">
        <v>1455</v>
      </c>
      <c r="C41" t="s">
        <v>1456</v>
      </c>
      <c r="D41">
        <v>78.33</v>
      </c>
    </row>
    <row r="42" spans="1:5" x14ac:dyDescent="0.25">
      <c r="A42" t="s">
        <v>75</v>
      </c>
      <c r="B42" t="s">
        <v>1463</v>
      </c>
      <c r="C42" t="s">
        <v>1456</v>
      </c>
      <c r="D42">
        <v>81.61</v>
      </c>
    </row>
    <row r="44" spans="1:5" x14ac:dyDescent="0.25">
      <c r="A44" t="s">
        <v>1518</v>
      </c>
      <c r="B44" t="s">
        <v>1519</v>
      </c>
      <c r="C44" t="s">
        <v>151</v>
      </c>
      <c r="D44">
        <v>109.2</v>
      </c>
    </row>
    <row r="45" spans="1:5" x14ac:dyDescent="0.25">
      <c r="A45" t="s">
        <v>1520</v>
      </c>
      <c r="B45" t="s">
        <v>1521</v>
      </c>
      <c r="C45" t="s">
        <v>151</v>
      </c>
      <c r="D45">
        <v>66.930000000000007</v>
      </c>
    </row>
    <row r="47" spans="1:5" x14ac:dyDescent="0.25">
      <c r="A47" t="s">
        <v>197</v>
      </c>
      <c r="B47" t="s">
        <v>1473</v>
      </c>
      <c r="C47" t="s">
        <v>16</v>
      </c>
      <c r="D47">
        <v>121.73</v>
      </c>
      <c r="E47" t="str">
        <f>VLOOKUP(A47,Wages!$A$98:$A$126,1,FALSE)</f>
        <v>MAN014</v>
      </c>
    </row>
    <row r="48" spans="1:5" x14ac:dyDescent="0.25">
      <c r="A48" t="s">
        <v>260</v>
      </c>
      <c r="B48" t="s">
        <v>1478</v>
      </c>
      <c r="C48" t="s">
        <v>16</v>
      </c>
      <c r="D48">
        <v>89.52</v>
      </c>
      <c r="E48" t="s">
        <v>378</v>
      </c>
    </row>
    <row r="49" spans="1:5" x14ac:dyDescent="0.25">
      <c r="A49" t="s">
        <v>284</v>
      </c>
      <c r="B49" t="s">
        <v>1485</v>
      </c>
      <c r="C49" t="s">
        <v>16</v>
      </c>
      <c r="D49">
        <v>87.84</v>
      </c>
      <c r="E49" t="str">
        <f>VLOOKUP(A49,Wages!$A$98:$A$126,1,FALSE)</f>
        <v>W0000009</v>
      </c>
    </row>
    <row r="50" spans="1:5" x14ac:dyDescent="0.25">
      <c r="A50" t="s">
        <v>323</v>
      </c>
      <c r="B50" t="s">
        <v>1490</v>
      </c>
      <c r="C50" t="s">
        <v>16</v>
      </c>
      <c r="D50">
        <v>89.52</v>
      </c>
      <c r="E50" t="str">
        <f>VLOOKUP(A50,Wages!$A$98:$A$126,1,FALSE)</f>
        <v>W0000024</v>
      </c>
    </row>
    <row r="51" spans="1:5" x14ac:dyDescent="0.25">
      <c r="A51" t="s">
        <v>337</v>
      </c>
      <c r="B51" t="s">
        <v>1494</v>
      </c>
      <c r="C51" t="s">
        <v>16</v>
      </c>
      <c r="D51">
        <v>87.84</v>
      </c>
      <c r="E51" t="str">
        <f>VLOOKUP(A51,Wages!$A$98:$A$126,1,FALSE)</f>
        <v>W0000030</v>
      </c>
    </row>
    <row r="52" spans="1:5" x14ac:dyDescent="0.25">
      <c r="A52" t="s">
        <v>363</v>
      </c>
      <c r="B52" t="s">
        <v>1497</v>
      </c>
      <c r="C52" t="s">
        <v>16</v>
      </c>
      <c r="D52">
        <v>92.77</v>
      </c>
      <c r="E52" t="str">
        <f>VLOOKUP(A52,Wages!$A$98:$A$126,1,FALSE)</f>
        <v>W0000041</v>
      </c>
    </row>
    <row r="53" spans="1:5" x14ac:dyDescent="0.25">
      <c r="A53" t="s">
        <v>856</v>
      </c>
      <c r="B53" t="s">
        <v>1499</v>
      </c>
      <c r="C53" t="s">
        <v>16</v>
      </c>
      <c r="D53">
        <v>87.84</v>
      </c>
      <c r="E53" t="s">
        <v>378</v>
      </c>
    </row>
    <row r="54" spans="1:5" x14ac:dyDescent="0.25">
      <c r="A54" t="s">
        <v>1532</v>
      </c>
      <c r="B54" t="s">
        <v>1533</v>
      </c>
      <c r="C54" t="s">
        <v>16</v>
      </c>
      <c r="D54">
        <v>72.849999999999994</v>
      </c>
      <c r="E54" t="str">
        <f>VLOOKUP(A54,Wages!$A$98:$A$126,1,FALSE)</f>
        <v>W0000080</v>
      </c>
    </row>
    <row r="55" spans="1:5" x14ac:dyDescent="0.25">
      <c r="A55" t="s">
        <v>1534</v>
      </c>
      <c r="B55" t="s">
        <v>1535</v>
      </c>
      <c r="C55" t="s">
        <v>16</v>
      </c>
      <c r="D55">
        <v>72.849999999999994</v>
      </c>
      <c r="E55" t="str">
        <f>VLOOKUP(A55,Wages!$A$98:$A$126,1,FALSE)</f>
        <v>W0000081</v>
      </c>
    </row>
    <row r="56" spans="1:5" x14ac:dyDescent="0.25">
      <c r="A56" t="s">
        <v>1536</v>
      </c>
      <c r="B56" t="s">
        <v>1537</v>
      </c>
      <c r="C56" t="s">
        <v>16</v>
      </c>
      <c r="D56">
        <v>72.849999999999994</v>
      </c>
      <c r="E56" t="e">
        <f>VLOOKUP(A56,Wages!$A$98:$A$126,1,FALSE)</f>
        <v>#N/A</v>
      </c>
    </row>
    <row r="58" spans="1:5" x14ac:dyDescent="0.25">
      <c r="A58" t="s">
        <v>202</v>
      </c>
      <c r="B58" t="s">
        <v>1474</v>
      </c>
      <c r="C58" t="s">
        <v>28</v>
      </c>
      <c r="D58">
        <v>89.89</v>
      </c>
    </row>
    <row r="59" spans="1:5" x14ac:dyDescent="0.25">
      <c r="A59" t="s">
        <v>300</v>
      </c>
      <c r="B59" t="s">
        <v>1486</v>
      </c>
      <c r="C59" t="s">
        <v>28</v>
      </c>
      <c r="D59">
        <v>109.2</v>
      </c>
    </row>
    <row r="60" spans="1:5" x14ac:dyDescent="0.25">
      <c r="A60" t="s">
        <v>331</v>
      </c>
      <c r="B60" t="s">
        <v>1493</v>
      </c>
      <c r="C60" t="s">
        <v>28</v>
      </c>
      <c r="D60">
        <v>81.61</v>
      </c>
    </row>
    <row r="61" spans="1:5" x14ac:dyDescent="0.25">
      <c r="A61" t="s">
        <v>946</v>
      </c>
      <c r="B61" t="s">
        <v>1501</v>
      </c>
      <c r="C61" t="s">
        <v>28</v>
      </c>
      <c r="D61">
        <v>72.849999999999994</v>
      </c>
    </row>
    <row r="62" spans="1:5" x14ac:dyDescent="0.25">
      <c r="A62" t="s">
        <v>942</v>
      </c>
      <c r="B62" t="s">
        <v>1504</v>
      </c>
      <c r="C62" t="s">
        <v>28</v>
      </c>
      <c r="D62">
        <v>92.77</v>
      </c>
    </row>
    <row r="64" spans="1:5" x14ac:dyDescent="0.25">
      <c r="A64" t="s">
        <v>226</v>
      </c>
      <c r="B64" t="s">
        <v>1476</v>
      </c>
      <c r="C64" t="s">
        <v>70</v>
      </c>
      <c r="D64">
        <v>109.2</v>
      </c>
      <c r="E64" t="e">
        <f>VLOOKUP(A64,Wages!$A$162:$A$172,1,FALSE)</f>
        <v>#N/A</v>
      </c>
    </row>
    <row r="65" spans="1:5" x14ac:dyDescent="0.25">
      <c r="A65" t="s">
        <v>281</v>
      </c>
      <c r="B65" t="s">
        <v>1484</v>
      </c>
      <c r="C65" t="s">
        <v>70</v>
      </c>
      <c r="D65">
        <v>72.849999999999994</v>
      </c>
      <c r="E65" t="str">
        <f>VLOOKUP(A65,Wages!$A$162:$A$172,1,FALSE)</f>
        <v>W0000008</v>
      </c>
    </row>
    <row r="66" spans="1:5" x14ac:dyDescent="0.25">
      <c r="A66" t="s">
        <v>354</v>
      </c>
      <c r="B66" t="s">
        <v>1496</v>
      </c>
      <c r="C66" t="s">
        <v>70</v>
      </c>
      <c r="D66">
        <v>81.61</v>
      </c>
      <c r="E66" t="str">
        <f>VLOOKUP(A66,Wages!$A$162:$A$172,1,FALSE)</f>
        <v>W0000037</v>
      </c>
    </row>
    <row r="67" spans="1:5" x14ac:dyDescent="0.25">
      <c r="A67" t="s">
        <v>1404</v>
      </c>
      <c r="B67" t="s">
        <v>1513</v>
      </c>
      <c r="C67" t="s">
        <v>70</v>
      </c>
      <c r="D67">
        <v>69.66</v>
      </c>
      <c r="E67" t="str">
        <f>VLOOKUP(A67,Wages!$A$162:$A$172,1,FALSE)</f>
        <v>W0000068</v>
      </c>
    </row>
    <row r="68" spans="1:5" x14ac:dyDescent="0.25">
      <c r="A68" t="s">
        <v>1405</v>
      </c>
      <c r="B68" t="s">
        <v>1514</v>
      </c>
      <c r="C68" t="s">
        <v>70</v>
      </c>
      <c r="D68">
        <v>69.66</v>
      </c>
      <c r="E68" t="str">
        <f>VLOOKUP(A68,Wages!$A$162:$A$172,1,FALSE)</f>
        <v>W0000069</v>
      </c>
    </row>
    <row r="69" spans="1:5" x14ac:dyDescent="0.25">
      <c r="A69" t="s">
        <v>1408</v>
      </c>
      <c r="B69" t="s">
        <v>1515</v>
      </c>
      <c r="C69" t="s">
        <v>70</v>
      </c>
      <c r="D69">
        <v>66.930000000000007</v>
      </c>
      <c r="E69" t="str">
        <f>VLOOKUP(A69,Wages!$A$162:$A$172,1,FALSE)</f>
        <v>W0000070</v>
      </c>
    </row>
    <row r="70" spans="1:5" x14ac:dyDescent="0.25">
      <c r="A70" t="s">
        <v>1411</v>
      </c>
      <c r="B70" t="s">
        <v>1516</v>
      </c>
      <c r="C70" t="s">
        <v>70</v>
      </c>
      <c r="D70">
        <v>66.930000000000007</v>
      </c>
      <c r="E70" t="str">
        <f>VLOOKUP(A70,Wages!$A$162:$A$172,1,FALSE)</f>
        <v>W0000071</v>
      </c>
    </row>
    <row r="71" spans="1:5" x14ac:dyDescent="0.25">
      <c r="A71" t="s">
        <v>1414</v>
      </c>
      <c r="B71" t="s">
        <v>1517</v>
      </c>
      <c r="C71" t="s">
        <v>70</v>
      </c>
      <c r="D71">
        <v>69.66</v>
      </c>
      <c r="E71" t="str">
        <f>VLOOKUP(A71,Wages!$A$162:$A$172,1,FALSE)</f>
        <v>W0000072</v>
      </c>
    </row>
    <row r="72" spans="1:5" x14ac:dyDescent="0.25">
      <c r="A72" t="s">
        <v>1543</v>
      </c>
      <c r="B72" t="s">
        <v>1544</v>
      </c>
      <c r="C72" t="s">
        <v>70</v>
      </c>
      <c r="D72">
        <v>69.66</v>
      </c>
      <c r="E72" t="e">
        <f>VLOOKUP(A72,Wages!$A$162:$A$172,1,FALSE)</f>
        <v>#N/A</v>
      </c>
    </row>
    <row r="73" spans="1:5" x14ac:dyDescent="0.25">
      <c r="A73" t="s">
        <v>1545</v>
      </c>
      <c r="B73" t="s">
        <v>1546</v>
      </c>
      <c r="C73" t="s">
        <v>70</v>
      </c>
      <c r="D73">
        <v>69.66</v>
      </c>
      <c r="E73" t="str">
        <f>VLOOKUP(A73,Wages!$A$162:$A$172,1,FALSE)</f>
        <v>W0000087</v>
      </c>
    </row>
    <row r="74" spans="1:5" x14ac:dyDescent="0.25">
      <c r="A74" t="s">
        <v>1547</v>
      </c>
      <c r="B74" t="s">
        <v>1548</v>
      </c>
      <c r="C74" t="s">
        <v>70</v>
      </c>
      <c r="D74">
        <v>69.66</v>
      </c>
      <c r="E74" t="str">
        <f>VLOOKUP(A74,Wages!$A$162:$A$172,1,FALSE)</f>
        <v>W0000088</v>
      </c>
    </row>
    <row r="76" spans="1:5" x14ac:dyDescent="0.25">
      <c r="A76" t="s">
        <v>1453</v>
      </c>
      <c r="B76" t="s">
        <v>1454</v>
      </c>
      <c r="C76" t="s">
        <v>231</v>
      </c>
      <c r="D76">
        <v>66.930000000000007</v>
      </c>
    </row>
    <row r="77" spans="1:5" x14ac:dyDescent="0.25">
      <c r="A77" t="s">
        <v>171</v>
      </c>
      <c r="B77" t="s">
        <v>1470</v>
      </c>
      <c r="C77" t="s">
        <v>182</v>
      </c>
      <c r="D77">
        <v>78.33</v>
      </c>
    </row>
    <row r="78" spans="1:5" x14ac:dyDescent="0.25">
      <c r="A78" t="s">
        <v>308</v>
      </c>
      <c r="B78" t="s">
        <v>1488</v>
      </c>
      <c r="C78" t="s">
        <v>182</v>
      </c>
      <c r="D78">
        <v>81.61</v>
      </c>
    </row>
    <row r="79" spans="1:5" x14ac:dyDescent="0.25">
      <c r="A79" t="s">
        <v>216</v>
      </c>
      <c r="B79" t="s">
        <v>1475</v>
      </c>
      <c r="C79" t="s">
        <v>219</v>
      </c>
      <c r="D79">
        <v>99.76</v>
      </c>
    </row>
    <row r="81" spans="1:5" x14ac:dyDescent="0.25">
      <c r="A81" t="s">
        <v>54</v>
      </c>
      <c r="B81" t="s">
        <v>1460</v>
      </c>
      <c r="C81" t="s">
        <v>58</v>
      </c>
      <c r="D81">
        <v>109.2</v>
      </c>
      <c r="E81" t="str">
        <f>VLOOKUP(A81,'Other Overhead'!$A$13:$A$20,1,FALSE)</f>
        <v>CON308A</v>
      </c>
    </row>
    <row r="82" spans="1:5" x14ac:dyDescent="0.25">
      <c r="A82" t="s">
        <v>269</v>
      </c>
      <c r="B82" t="s">
        <v>1481</v>
      </c>
      <c r="C82" t="s">
        <v>58</v>
      </c>
      <c r="D82">
        <v>81.61</v>
      </c>
      <c r="E82" t="str">
        <f>VLOOKUP(A82,'Other Overhead'!$A$13:$A$20,1,FALSE)</f>
        <v>W0000004</v>
      </c>
    </row>
    <row r="83" spans="1:5" x14ac:dyDescent="0.25">
      <c r="A83" t="s">
        <v>326</v>
      </c>
      <c r="B83" t="s">
        <v>1491</v>
      </c>
      <c r="C83" t="s">
        <v>58</v>
      </c>
      <c r="D83">
        <v>75.430000000000007</v>
      </c>
      <c r="E83" t="str">
        <f>VLOOKUP(A83,'Other Overhead'!$A$13:$A$20,1,FALSE)</f>
        <v>W0000025</v>
      </c>
    </row>
    <row r="84" spans="1:5" x14ac:dyDescent="0.25">
      <c r="A84" t="s">
        <v>949</v>
      </c>
      <c r="B84" t="s">
        <v>1505</v>
      </c>
      <c r="C84" t="s">
        <v>58</v>
      </c>
      <c r="D84">
        <v>72.849999999999994</v>
      </c>
      <c r="E84" t="str">
        <f>VLOOKUP(A84,'Other Overhead'!$A$13:$A$20,1,FALSE)</f>
        <v>W0000054</v>
      </c>
    </row>
    <row r="85" spans="1:5" x14ac:dyDescent="0.25">
      <c r="A85" t="s">
        <v>952</v>
      </c>
      <c r="B85" t="s">
        <v>1506</v>
      </c>
      <c r="C85" t="s">
        <v>58</v>
      </c>
      <c r="D85">
        <v>66.930000000000007</v>
      </c>
      <c r="E85" t="str">
        <f>VLOOKUP(A85,'Other Overhead'!$A$13:$A$20,1,FALSE)</f>
        <v>W0000057</v>
      </c>
    </row>
    <row r="86" spans="1:5" x14ac:dyDescent="0.25">
      <c r="A86" t="s">
        <v>1419</v>
      </c>
      <c r="B86" t="s">
        <v>1512</v>
      </c>
      <c r="C86" t="s">
        <v>58</v>
      </c>
      <c r="D86">
        <v>66.930000000000007</v>
      </c>
      <c r="E86" t="str">
        <f>VLOOKUP(A86,'Other Overhead'!$A$13:$A$20,1,FALSE)</f>
        <v>W0000067</v>
      </c>
    </row>
    <row r="87" spans="1:5" x14ac:dyDescent="0.25">
      <c r="A87" t="s">
        <v>1528</v>
      </c>
      <c r="B87" t="s">
        <v>1529</v>
      </c>
      <c r="C87" t="s">
        <v>58</v>
      </c>
      <c r="D87">
        <v>66.930000000000007</v>
      </c>
      <c r="E87" t="str">
        <f>VLOOKUP(A87,'Other Overhead'!$A$13:$A$20,1,FALSE)</f>
        <v>W0000078</v>
      </c>
    </row>
    <row r="88" spans="1:5" x14ac:dyDescent="0.25">
      <c r="A88" t="s">
        <v>1530</v>
      </c>
      <c r="B88" t="s">
        <v>1531</v>
      </c>
      <c r="C88" t="s">
        <v>58</v>
      </c>
      <c r="D88">
        <v>66.930000000000007</v>
      </c>
      <c r="E88" t="str">
        <f>VLOOKUP(A88,'Other Overhead'!$A$13:$A$20,1,FALSE)</f>
        <v>W0000079</v>
      </c>
    </row>
    <row r="90" spans="1:5" x14ac:dyDescent="0.25">
      <c r="A90" t="s">
        <v>1015</v>
      </c>
      <c r="B90" t="s">
        <v>1507</v>
      </c>
      <c r="C90" t="s">
        <v>1508</v>
      </c>
      <c r="D90">
        <v>66.930000000000007</v>
      </c>
    </row>
    <row r="91" spans="1:5" x14ac:dyDescent="0.25">
      <c r="A91" t="s">
        <v>263</v>
      </c>
      <c r="B91" t="s">
        <v>1479</v>
      </c>
      <c r="C91" t="s">
        <v>1480</v>
      </c>
      <c r="D91">
        <v>78.33</v>
      </c>
    </row>
  </sheetData>
  <sortState xmlns:xlrd2="http://schemas.microsoft.com/office/spreadsheetml/2017/richdata2" ref="A1:D91">
    <sortCondition ref="C1:C9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M272"/>
  <sheetViews>
    <sheetView topLeftCell="A127" workbookViewId="0">
      <selection activeCell="G148" sqref="G148"/>
    </sheetView>
  </sheetViews>
  <sheetFormatPr defaultRowHeight="15" x14ac:dyDescent="0.25"/>
  <cols>
    <col min="3" max="3" width="12" customWidth="1"/>
    <col min="4" max="4" width="12" bestFit="1" customWidth="1"/>
    <col min="7" max="7" width="19.140625" customWidth="1"/>
    <col min="8" max="8" width="26.42578125" bestFit="1" customWidth="1"/>
    <col min="11" max="11" width="11" bestFit="1" customWidth="1"/>
    <col min="12" max="12" width="27" bestFit="1" customWidth="1"/>
    <col min="13" max="13" width="9.140625" style="3"/>
  </cols>
  <sheetData>
    <row r="1" spans="1:13" x14ac:dyDescent="0.25">
      <c r="J1" t="s">
        <v>366</v>
      </c>
      <c r="K1" t="s">
        <v>367</v>
      </c>
      <c r="L1" t="s">
        <v>369</v>
      </c>
    </row>
    <row r="2" spans="1:13" x14ac:dyDescent="0.25">
      <c r="A2" t="s">
        <v>87</v>
      </c>
      <c r="B2" t="s">
        <v>88</v>
      </c>
      <c r="C2" t="s">
        <v>26</v>
      </c>
      <c r="D2">
        <v>8709265154086</v>
      </c>
      <c r="E2" t="s">
        <v>3</v>
      </c>
      <c r="F2" t="s">
        <v>4</v>
      </c>
      <c r="G2" t="s">
        <v>89</v>
      </c>
      <c r="H2" t="s">
        <v>32</v>
      </c>
      <c r="I2">
        <v>51.98</v>
      </c>
      <c r="J2" t="s">
        <v>368</v>
      </c>
      <c r="L2" s="1" t="s">
        <v>370</v>
      </c>
      <c r="M2" s="3">
        <v>0.8</v>
      </c>
    </row>
    <row r="3" spans="1:13" x14ac:dyDescent="0.25">
      <c r="L3" s="2" t="s">
        <v>371</v>
      </c>
      <c r="M3" s="3">
        <v>0.1</v>
      </c>
    </row>
    <row r="4" spans="1:13" x14ac:dyDescent="0.25">
      <c r="L4" s="1" t="s">
        <v>372</v>
      </c>
      <c r="M4" s="3">
        <v>0.1</v>
      </c>
    </row>
    <row r="5" spans="1:13" x14ac:dyDescent="0.25">
      <c r="L5" s="1"/>
    </row>
    <row r="6" spans="1:13" x14ac:dyDescent="0.25">
      <c r="A6" t="s">
        <v>318</v>
      </c>
      <c r="B6" t="s">
        <v>319</v>
      </c>
      <c r="C6" t="s">
        <v>320</v>
      </c>
      <c r="D6">
        <v>9305175138084</v>
      </c>
      <c r="E6" t="s">
        <v>3</v>
      </c>
      <c r="F6" t="s">
        <v>4</v>
      </c>
      <c r="G6" t="s">
        <v>89</v>
      </c>
      <c r="H6" t="s">
        <v>32</v>
      </c>
      <c r="I6">
        <v>51.98</v>
      </c>
      <c r="J6" t="s">
        <v>368</v>
      </c>
      <c r="L6" s="2" t="s">
        <v>373</v>
      </c>
      <c r="M6" s="3">
        <v>1</v>
      </c>
    </row>
    <row r="7" spans="1:13" x14ac:dyDescent="0.25">
      <c r="A7" t="s">
        <v>116</v>
      </c>
      <c r="B7" t="s">
        <v>117</v>
      </c>
      <c r="C7" t="s">
        <v>118</v>
      </c>
      <c r="D7">
        <v>9001085025087</v>
      </c>
      <c r="E7" t="s">
        <v>3</v>
      </c>
      <c r="F7" t="s">
        <v>4</v>
      </c>
      <c r="G7" t="s">
        <v>119</v>
      </c>
      <c r="H7" t="s">
        <v>32</v>
      </c>
      <c r="I7">
        <v>54.33</v>
      </c>
      <c r="J7" t="s">
        <v>368</v>
      </c>
      <c r="L7" s="2" t="s">
        <v>373</v>
      </c>
      <c r="M7" s="3">
        <v>1</v>
      </c>
    </row>
    <row r="8" spans="1:13" x14ac:dyDescent="0.25">
      <c r="L8" s="2"/>
    </row>
    <row r="9" spans="1:13" x14ac:dyDescent="0.25">
      <c r="A9" t="s">
        <v>71</v>
      </c>
      <c r="B9" t="s">
        <v>72</v>
      </c>
      <c r="C9" t="s">
        <v>73</v>
      </c>
      <c r="D9">
        <v>8208050797084</v>
      </c>
      <c r="E9" t="s">
        <v>68</v>
      </c>
      <c r="F9" t="s">
        <v>4</v>
      </c>
      <c r="G9" t="s">
        <v>74</v>
      </c>
      <c r="H9" t="s">
        <v>32</v>
      </c>
      <c r="I9">
        <v>54.33</v>
      </c>
      <c r="J9" t="s">
        <v>368</v>
      </c>
      <c r="L9" s="1" t="s">
        <v>374</v>
      </c>
      <c r="M9" s="3">
        <v>0.75</v>
      </c>
    </row>
    <row r="10" spans="1:13" x14ac:dyDescent="0.25">
      <c r="L10" s="2" t="s">
        <v>373</v>
      </c>
      <c r="M10" s="3">
        <v>0.25</v>
      </c>
    </row>
    <row r="11" spans="1:13" x14ac:dyDescent="0.25">
      <c r="L11" s="2"/>
    </row>
    <row r="12" spans="1:13" x14ac:dyDescent="0.25">
      <c r="A12" t="s">
        <v>83</v>
      </c>
      <c r="B12" t="s">
        <v>84</v>
      </c>
      <c r="C12" t="s">
        <v>85</v>
      </c>
      <c r="D12">
        <v>8612075150080</v>
      </c>
      <c r="E12" t="s">
        <v>3</v>
      </c>
      <c r="F12" t="s">
        <v>4</v>
      </c>
      <c r="G12" t="s">
        <v>86</v>
      </c>
      <c r="H12" t="s">
        <v>32</v>
      </c>
      <c r="I12">
        <v>51.98</v>
      </c>
      <c r="J12" t="s">
        <v>368</v>
      </c>
      <c r="L12" s="1" t="s">
        <v>375</v>
      </c>
    </row>
    <row r="13" spans="1:13" x14ac:dyDescent="0.25">
      <c r="L13" s="4"/>
    </row>
    <row r="14" spans="1:13" x14ac:dyDescent="0.25">
      <c r="A14" t="s">
        <v>46</v>
      </c>
      <c r="B14" t="s">
        <v>47</v>
      </c>
      <c r="C14" t="s">
        <v>48</v>
      </c>
      <c r="D14">
        <v>8308165250084</v>
      </c>
      <c r="E14" t="s">
        <v>3</v>
      </c>
      <c r="F14" t="s">
        <v>4</v>
      </c>
      <c r="G14" t="s">
        <v>49</v>
      </c>
      <c r="H14" t="s">
        <v>32</v>
      </c>
      <c r="I14">
        <v>58.58</v>
      </c>
      <c r="J14" t="s">
        <v>368</v>
      </c>
      <c r="L14" s="2" t="s">
        <v>373</v>
      </c>
      <c r="M14" s="3">
        <v>0.75</v>
      </c>
    </row>
    <row r="15" spans="1:13" x14ac:dyDescent="0.25">
      <c r="L15" s="2" t="s">
        <v>376</v>
      </c>
      <c r="M15" s="3">
        <v>0.25</v>
      </c>
    </row>
    <row r="16" spans="1:13" x14ac:dyDescent="0.25">
      <c r="L16" s="5"/>
    </row>
    <row r="17" spans="1:13" x14ac:dyDescent="0.25">
      <c r="A17" t="s">
        <v>29</v>
      </c>
      <c r="B17" t="s">
        <v>30</v>
      </c>
      <c r="C17" t="s">
        <v>31</v>
      </c>
      <c r="D17">
        <v>8209115126087</v>
      </c>
      <c r="E17" t="s">
        <v>3</v>
      </c>
      <c r="F17" t="s">
        <v>4</v>
      </c>
      <c r="G17" t="s">
        <v>10</v>
      </c>
      <c r="H17" t="s">
        <v>32</v>
      </c>
      <c r="I17">
        <v>75.930000000000007</v>
      </c>
      <c r="J17" t="s">
        <v>368</v>
      </c>
      <c r="L17" s="2" t="s">
        <v>373</v>
      </c>
      <c r="M17" s="3">
        <v>0.5</v>
      </c>
    </row>
    <row r="18" spans="1:13" x14ac:dyDescent="0.25">
      <c r="L18" s="2" t="s">
        <v>376</v>
      </c>
      <c r="M18" s="3">
        <v>0.5</v>
      </c>
    </row>
    <row r="19" spans="1:13" x14ac:dyDescent="0.25">
      <c r="L19" s="2"/>
    </row>
    <row r="20" spans="1:13" x14ac:dyDescent="0.25">
      <c r="A20" t="s">
        <v>80</v>
      </c>
      <c r="B20" t="s">
        <v>81</v>
      </c>
      <c r="C20" t="s">
        <v>82</v>
      </c>
      <c r="D20">
        <v>9112155437084</v>
      </c>
      <c r="E20" t="s">
        <v>3</v>
      </c>
      <c r="F20" t="s">
        <v>4</v>
      </c>
      <c r="G20" t="s">
        <v>45</v>
      </c>
      <c r="H20" t="s">
        <v>32</v>
      </c>
      <c r="I20">
        <v>58.58</v>
      </c>
      <c r="J20" t="s">
        <v>368</v>
      </c>
      <c r="L20" s="1" t="s">
        <v>370</v>
      </c>
      <c r="M20" s="3">
        <v>1</v>
      </c>
    </row>
    <row r="22" spans="1:13" x14ac:dyDescent="0.25">
      <c r="A22" t="s">
        <v>127</v>
      </c>
      <c r="B22" t="s">
        <v>128</v>
      </c>
      <c r="C22" t="s">
        <v>129</v>
      </c>
      <c r="D22">
        <v>8101035211083</v>
      </c>
      <c r="E22" t="s">
        <v>3</v>
      </c>
      <c r="F22" t="s">
        <v>4</v>
      </c>
      <c r="G22" t="s">
        <v>45</v>
      </c>
      <c r="H22" t="s">
        <v>32</v>
      </c>
      <c r="I22">
        <v>58.58</v>
      </c>
      <c r="J22" t="s">
        <v>368</v>
      </c>
      <c r="L22" s="2" t="s">
        <v>373</v>
      </c>
      <c r="M22" s="3">
        <v>0.5</v>
      </c>
    </row>
    <row r="23" spans="1:13" x14ac:dyDescent="0.25">
      <c r="L23" s="2" t="s">
        <v>376</v>
      </c>
      <c r="M23" s="3">
        <v>0.5</v>
      </c>
    </row>
    <row r="24" spans="1:13" x14ac:dyDescent="0.25">
      <c r="L24" s="2"/>
    </row>
    <row r="25" spans="1:13" x14ac:dyDescent="0.25">
      <c r="A25" t="s">
        <v>37</v>
      </c>
      <c r="B25" t="s">
        <v>38</v>
      </c>
      <c r="C25" t="s">
        <v>39</v>
      </c>
      <c r="D25">
        <v>7407205477086</v>
      </c>
      <c r="E25" t="s">
        <v>3</v>
      </c>
      <c r="F25" t="s">
        <v>40</v>
      </c>
      <c r="G25" t="s">
        <v>41</v>
      </c>
      <c r="H25" t="s">
        <v>32</v>
      </c>
      <c r="I25">
        <v>54.33</v>
      </c>
      <c r="J25" t="s">
        <v>368</v>
      </c>
      <c r="L25" s="2" t="s">
        <v>376</v>
      </c>
      <c r="M25" s="3">
        <v>0.75</v>
      </c>
    </row>
    <row r="26" spans="1:13" x14ac:dyDescent="0.25">
      <c r="L26" s="2" t="s">
        <v>373</v>
      </c>
      <c r="M26" s="3">
        <v>0.25</v>
      </c>
    </row>
    <row r="27" spans="1:13" x14ac:dyDescent="0.25">
      <c r="A27" t="s">
        <v>379</v>
      </c>
      <c r="L27" s="5"/>
    </row>
    <row r="28" spans="1:13" x14ac:dyDescent="0.25">
      <c r="B28" t="s">
        <v>377</v>
      </c>
      <c r="I28">
        <v>51.98</v>
      </c>
      <c r="L28" s="1" t="s">
        <v>375</v>
      </c>
    </row>
    <row r="29" spans="1:13" x14ac:dyDescent="0.25">
      <c r="L29" s="5"/>
    </row>
    <row r="30" spans="1:13" x14ac:dyDescent="0.25">
      <c r="L30" s="5"/>
    </row>
    <row r="31" spans="1:13" x14ac:dyDescent="0.25">
      <c r="L31" s="5"/>
    </row>
    <row r="32" spans="1:13" x14ac:dyDescent="0.25">
      <c r="A32" t="s">
        <v>33</v>
      </c>
      <c r="B32" t="s">
        <v>34</v>
      </c>
      <c r="C32" t="s">
        <v>35</v>
      </c>
      <c r="D32">
        <v>5608015152080</v>
      </c>
      <c r="E32" t="s">
        <v>3</v>
      </c>
      <c r="F32" t="s">
        <v>4</v>
      </c>
      <c r="G32" t="s">
        <v>36</v>
      </c>
      <c r="H32" t="s">
        <v>11</v>
      </c>
      <c r="I32">
        <v>49.67</v>
      </c>
      <c r="L32" s="1" t="s">
        <v>384</v>
      </c>
    </row>
    <row r="33" spans="1:13" x14ac:dyDescent="0.25">
      <c r="A33" t="s">
        <v>101</v>
      </c>
      <c r="B33" t="s">
        <v>102</v>
      </c>
      <c r="C33" t="s">
        <v>103</v>
      </c>
      <c r="D33">
        <v>7408095059083</v>
      </c>
      <c r="E33" t="s">
        <v>3</v>
      </c>
      <c r="F33" t="s">
        <v>4</v>
      </c>
      <c r="G33" t="s">
        <v>104</v>
      </c>
      <c r="H33" t="s">
        <v>11</v>
      </c>
      <c r="I33">
        <v>54.33</v>
      </c>
      <c r="L33" s="2" t="s">
        <v>385</v>
      </c>
    </row>
    <row r="34" spans="1:13" x14ac:dyDescent="0.25">
      <c r="A34" t="s">
        <v>21</v>
      </c>
      <c r="B34" t="s">
        <v>22</v>
      </c>
      <c r="C34" t="s">
        <v>23</v>
      </c>
      <c r="D34">
        <v>7311105207082</v>
      </c>
      <c r="E34" t="s">
        <v>3</v>
      </c>
      <c r="F34" t="s">
        <v>4</v>
      </c>
      <c r="G34" t="s">
        <v>24</v>
      </c>
      <c r="H34" t="s">
        <v>11</v>
      </c>
      <c r="I34">
        <v>62.05</v>
      </c>
      <c r="J34" t="s">
        <v>368</v>
      </c>
      <c r="L34" s="2" t="s">
        <v>385</v>
      </c>
    </row>
    <row r="35" spans="1:13" x14ac:dyDescent="0.25">
      <c r="A35" t="s">
        <v>253</v>
      </c>
      <c r="B35" t="s">
        <v>254</v>
      </c>
      <c r="C35" t="s">
        <v>255</v>
      </c>
      <c r="D35">
        <v>6508055160085</v>
      </c>
      <c r="E35" t="s">
        <v>3</v>
      </c>
      <c r="F35" t="s">
        <v>4</v>
      </c>
      <c r="G35" t="s">
        <v>146</v>
      </c>
      <c r="H35" t="s">
        <v>11</v>
      </c>
      <c r="I35">
        <v>50.1</v>
      </c>
      <c r="J35" t="s">
        <v>378</v>
      </c>
      <c r="L35" s="2" t="s">
        <v>385</v>
      </c>
    </row>
    <row r="36" spans="1:13" x14ac:dyDescent="0.25">
      <c r="A36" t="s">
        <v>305</v>
      </c>
      <c r="B36" t="s">
        <v>306</v>
      </c>
      <c r="C36" t="s">
        <v>307</v>
      </c>
      <c r="D36">
        <v>9405095267086</v>
      </c>
      <c r="E36" t="s">
        <v>3</v>
      </c>
      <c r="F36" t="s">
        <v>4</v>
      </c>
      <c r="G36" t="s">
        <v>146</v>
      </c>
      <c r="H36" t="s">
        <v>11</v>
      </c>
      <c r="I36">
        <v>43.59</v>
      </c>
      <c r="K36" t="s">
        <v>378</v>
      </c>
      <c r="L36" s="1" t="s">
        <v>384</v>
      </c>
    </row>
    <row r="37" spans="1:13" x14ac:dyDescent="0.25">
      <c r="G37" t="s">
        <v>377</v>
      </c>
      <c r="H37" t="s">
        <v>11</v>
      </c>
      <c r="I37">
        <v>45.43</v>
      </c>
      <c r="J37" t="s">
        <v>378</v>
      </c>
      <c r="L37" s="2" t="s">
        <v>385</v>
      </c>
    </row>
    <row r="38" spans="1:13" x14ac:dyDescent="0.25">
      <c r="G38" t="s">
        <v>377</v>
      </c>
      <c r="H38" t="s">
        <v>11</v>
      </c>
      <c r="I38">
        <v>45.43</v>
      </c>
      <c r="K38" t="s">
        <v>378</v>
      </c>
      <c r="L38" s="1" t="s">
        <v>384</v>
      </c>
    </row>
    <row r="39" spans="1:13" x14ac:dyDescent="0.25">
      <c r="A39" t="s">
        <v>287</v>
      </c>
      <c r="B39" t="s">
        <v>288</v>
      </c>
      <c r="C39" t="s">
        <v>289</v>
      </c>
      <c r="D39">
        <v>8601085269089</v>
      </c>
      <c r="E39" t="s">
        <v>3</v>
      </c>
      <c r="F39" t="s">
        <v>4</v>
      </c>
      <c r="G39" t="s">
        <v>290</v>
      </c>
      <c r="H39" t="s">
        <v>11</v>
      </c>
      <c r="I39">
        <v>54.33</v>
      </c>
      <c r="K39" t="s">
        <v>378</v>
      </c>
      <c r="L39" s="1" t="s">
        <v>384</v>
      </c>
    </row>
    <row r="40" spans="1:13" x14ac:dyDescent="0.25">
      <c r="A40" t="s">
        <v>7</v>
      </c>
      <c r="B40" t="s">
        <v>8</v>
      </c>
      <c r="C40" t="s">
        <v>9</v>
      </c>
      <c r="D40">
        <v>6810125129086</v>
      </c>
      <c r="E40" t="s">
        <v>3</v>
      </c>
      <c r="F40" t="s">
        <v>4</v>
      </c>
      <c r="G40" t="s">
        <v>10</v>
      </c>
      <c r="H40" t="s">
        <v>11</v>
      </c>
      <c r="I40">
        <v>75.930000000000007</v>
      </c>
    </row>
    <row r="42" spans="1:13" x14ac:dyDescent="0.25">
      <c r="A42" t="s">
        <v>379</v>
      </c>
      <c r="L42" s="5"/>
    </row>
    <row r="43" spans="1:13" x14ac:dyDescent="0.25">
      <c r="B43" t="s">
        <v>377</v>
      </c>
      <c r="I43">
        <v>45.43</v>
      </c>
      <c r="L43" s="1" t="s">
        <v>384</v>
      </c>
    </row>
    <row r="44" spans="1:13" x14ac:dyDescent="0.25">
      <c r="B44" t="s">
        <v>377</v>
      </c>
      <c r="I44">
        <v>45.43</v>
      </c>
      <c r="L44" s="2" t="s">
        <v>385</v>
      </c>
    </row>
    <row r="47" spans="1:13" x14ac:dyDescent="0.25">
      <c r="A47" t="s">
        <v>167</v>
      </c>
      <c r="B47" t="s">
        <v>168</v>
      </c>
      <c r="C47" t="s">
        <v>169</v>
      </c>
      <c r="D47">
        <v>8508215242086</v>
      </c>
      <c r="E47" t="s">
        <v>3</v>
      </c>
      <c r="F47" t="s">
        <v>4</v>
      </c>
      <c r="G47" t="s">
        <v>170</v>
      </c>
      <c r="H47" t="s">
        <v>20</v>
      </c>
      <c r="I47">
        <v>49.67</v>
      </c>
      <c r="L47" s="1" t="s">
        <v>380</v>
      </c>
      <c r="M47" s="3">
        <v>1</v>
      </c>
    </row>
    <row r="48" spans="1:13" x14ac:dyDescent="0.25">
      <c r="A48" t="s">
        <v>272</v>
      </c>
      <c r="B48" t="s">
        <v>273</v>
      </c>
      <c r="C48" t="s">
        <v>274</v>
      </c>
      <c r="D48">
        <v>9007215058088</v>
      </c>
      <c r="E48" t="s">
        <v>3</v>
      </c>
      <c r="F48" t="s">
        <v>4</v>
      </c>
      <c r="G48" t="s">
        <v>170</v>
      </c>
      <c r="H48" t="s">
        <v>20</v>
      </c>
      <c r="I48">
        <v>45.43</v>
      </c>
      <c r="L48" s="1" t="s">
        <v>380</v>
      </c>
      <c r="M48" s="3">
        <v>1</v>
      </c>
    </row>
    <row r="49" spans="1:13" x14ac:dyDescent="0.25">
      <c r="A49" t="s">
        <v>284</v>
      </c>
      <c r="B49" t="s">
        <v>285</v>
      </c>
      <c r="C49" t="s">
        <v>286</v>
      </c>
      <c r="D49">
        <v>9503125107080</v>
      </c>
      <c r="E49" t="s">
        <v>3</v>
      </c>
      <c r="F49" t="s">
        <v>4</v>
      </c>
      <c r="G49" t="s">
        <v>170</v>
      </c>
      <c r="H49" t="s">
        <v>20</v>
      </c>
      <c r="I49">
        <v>45.43</v>
      </c>
      <c r="L49" s="1" t="s">
        <v>380</v>
      </c>
      <c r="M49" s="3">
        <v>1</v>
      </c>
    </row>
    <row r="50" spans="1:13" x14ac:dyDescent="0.25">
      <c r="A50" t="s">
        <v>312</v>
      </c>
      <c r="B50" t="s">
        <v>313</v>
      </c>
      <c r="C50" t="s">
        <v>314</v>
      </c>
      <c r="D50">
        <v>7601095256085</v>
      </c>
      <c r="E50" t="s">
        <v>3</v>
      </c>
      <c r="F50" t="s">
        <v>4</v>
      </c>
      <c r="G50" t="s">
        <v>170</v>
      </c>
      <c r="H50" t="s">
        <v>20</v>
      </c>
      <c r="I50">
        <v>45.43</v>
      </c>
      <c r="L50" s="1" t="s">
        <v>380</v>
      </c>
      <c r="M50" s="3">
        <v>1</v>
      </c>
    </row>
    <row r="51" spans="1:13" x14ac:dyDescent="0.25">
      <c r="L51" s="4"/>
    </row>
    <row r="52" spans="1:13" x14ac:dyDescent="0.25">
      <c r="A52" t="s">
        <v>174</v>
      </c>
      <c r="B52" t="s">
        <v>175</v>
      </c>
      <c r="C52" t="s">
        <v>19</v>
      </c>
      <c r="D52">
        <v>9309085163083</v>
      </c>
      <c r="E52" t="s">
        <v>3</v>
      </c>
      <c r="F52" t="s">
        <v>4</v>
      </c>
      <c r="G52" t="s">
        <v>5</v>
      </c>
      <c r="H52" t="s">
        <v>6</v>
      </c>
      <c r="I52">
        <v>49.67</v>
      </c>
      <c r="L52" s="2" t="s">
        <v>383</v>
      </c>
      <c r="M52" s="3">
        <v>1</v>
      </c>
    </row>
    <row r="53" spans="1:13" x14ac:dyDescent="0.25">
      <c r="A53" t="s">
        <v>329</v>
      </c>
      <c r="B53" t="s">
        <v>102</v>
      </c>
      <c r="C53" t="s">
        <v>330</v>
      </c>
      <c r="D53">
        <v>7808305032087</v>
      </c>
      <c r="E53" t="s">
        <v>3</v>
      </c>
      <c r="F53" t="s">
        <v>4</v>
      </c>
      <c r="G53" t="s">
        <v>5</v>
      </c>
      <c r="H53" t="s">
        <v>6</v>
      </c>
      <c r="I53">
        <v>49.67</v>
      </c>
      <c r="L53" s="2" t="s">
        <v>383</v>
      </c>
      <c r="M53" s="3">
        <v>1</v>
      </c>
    </row>
    <row r="54" spans="1:13" x14ac:dyDescent="0.25">
      <c r="A54" t="s">
        <v>263</v>
      </c>
      <c r="B54" t="s">
        <v>264</v>
      </c>
      <c r="C54" t="s">
        <v>265</v>
      </c>
      <c r="D54">
        <v>8911175149087</v>
      </c>
      <c r="E54" t="s">
        <v>3</v>
      </c>
      <c r="F54" t="s">
        <v>4</v>
      </c>
      <c r="G54" t="s">
        <v>5</v>
      </c>
      <c r="H54" t="s">
        <v>6</v>
      </c>
      <c r="I54">
        <v>51.98</v>
      </c>
      <c r="L54" s="1" t="s">
        <v>381</v>
      </c>
      <c r="M54" s="3">
        <v>0.5</v>
      </c>
    </row>
    <row r="56" spans="1:13" x14ac:dyDescent="0.25">
      <c r="A56" t="s">
        <v>0</v>
      </c>
      <c r="B56" t="s">
        <v>1</v>
      </c>
      <c r="C56" t="s">
        <v>2</v>
      </c>
      <c r="D56">
        <v>8204255128084</v>
      </c>
      <c r="E56" t="s">
        <v>3</v>
      </c>
      <c r="F56" t="s">
        <v>4</v>
      </c>
      <c r="G56" t="s">
        <v>5</v>
      </c>
      <c r="H56" t="s">
        <v>6</v>
      </c>
      <c r="I56">
        <v>51.98</v>
      </c>
      <c r="L56" s="1" t="s">
        <v>381</v>
      </c>
      <c r="M56" s="3">
        <v>0.5</v>
      </c>
    </row>
    <row r="57" spans="1:13" x14ac:dyDescent="0.25">
      <c r="L57" s="2" t="s">
        <v>382</v>
      </c>
      <c r="M57" s="3">
        <v>0.5</v>
      </c>
    </row>
    <row r="58" spans="1:13" x14ac:dyDescent="0.25">
      <c r="A58" t="s">
        <v>78</v>
      </c>
      <c r="B58" t="s">
        <v>79</v>
      </c>
      <c r="C58" t="s">
        <v>2</v>
      </c>
      <c r="D58">
        <v>9104025228082</v>
      </c>
      <c r="E58" t="s">
        <v>3</v>
      </c>
      <c r="F58" t="s">
        <v>4</v>
      </c>
      <c r="G58" t="s">
        <v>5</v>
      </c>
      <c r="H58" t="s">
        <v>6</v>
      </c>
      <c r="I58">
        <v>51.98</v>
      </c>
      <c r="L58" s="1" t="s">
        <v>381</v>
      </c>
      <c r="M58" s="3">
        <v>0.5</v>
      </c>
    </row>
    <row r="59" spans="1:13" x14ac:dyDescent="0.25">
      <c r="L59" s="2" t="s">
        <v>382</v>
      </c>
      <c r="M59" s="3">
        <v>0.5</v>
      </c>
    </row>
    <row r="60" spans="1:13" x14ac:dyDescent="0.25">
      <c r="A60" t="s">
        <v>122</v>
      </c>
      <c r="B60" t="s">
        <v>123</v>
      </c>
      <c r="C60" t="s">
        <v>2</v>
      </c>
      <c r="D60">
        <v>7109225322082</v>
      </c>
      <c r="E60" t="s">
        <v>3</v>
      </c>
      <c r="F60" t="s">
        <v>4</v>
      </c>
      <c r="G60" t="s">
        <v>5</v>
      </c>
      <c r="H60" t="s">
        <v>6</v>
      </c>
      <c r="I60">
        <v>54.33</v>
      </c>
      <c r="L60" s="1" t="s">
        <v>381</v>
      </c>
      <c r="M60" s="3">
        <v>0.5</v>
      </c>
    </row>
    <row r="61" spans="1:13" x14ac:dyDescent="0.25">
      <c r="L61" s="2" t="s">
        <v>382</v>
      </c>
      <c r="M61" s="3">
        <v>0.5</v>
      </c>
    </row>
    <row r="62" spans="1:13" x14ac:dyDescent="0.25">
      <c r="A62" t="s">
        <v>133</v>
      </c>
      <c r="B62" t="s">
        <v>134</v>
      </c>
      <c r="C62" t="s">
        <v>135</v>
      </c>
      <c r="D62">
        <v>9006255130088</v>
      </c>
      <c r="E62" t="s">
        <v>3</v>
      </c>
      <c r="F62" t="s">
        <v>4</v>
      </c>
      <c r="G62" t="s">
        <v>5</v>
      </c>
      <c r="H62" t="s">
        <v>6</v>
      </c>
      <c r="I62">
        <v>51.98</v>
      </c>
      <c r="L62" s="1" t="s">
        <v>381</v>
      </c>
      <c r="M62" s="3">
        <v>0.5</v>
      </c>
    </row>
    <row r="63" spans="1:13" x14ac:dyDescent="0.25">
      <c r="L63" s="2" t="s">
        <v>382</v>
      </c>
      <c r="M63" s="3">
        <v>0.5</v>
      </c>
    </row>
    <row r="64" spans="1:13" x14ac:dyDescent="0.25">
      <c r="A64" t="s">
        <v>171</v>
      </c>
      <c r="B64" t="s">
        <v>172</v>
      </c>
      <c r="C64" t="s">
        <v>173</v>
      </c>
      <c r="D64">
        <v>8812285206082</v>
      </c>
      <c r="E64" t="s">
        <v>3</v>
      </c>
      <c r="F64" t="s">
        <v>4</v>
      </c>
      <c r="G64" t="s">
        <v>5</v>
      </c>
      <c r="H64" t="s">
        <v>6</v>
      </c>
      <c r="I64">
        <v>47.59</v>
      </c>
      <c r="L64" s="1" t="s">
        <v>381</v>
      </c>
      <c r="M64" s="3">
        <v>0.5</v>
      </c>
    </row>
    <row r="65" spans="1:13" x14ac:dyDescent="0.25">
      <c r="L65" s="2" t="s">
        <v>382</v>
      </c>
      <c r="M65" s="3">
        <v>0.5</v>
      </c>
    </row>
    <row r="66" spans="1:13" x14ac:dyDescent="0.25">
      <c r="A66" t="s">
        <v>206</v>
      </c>
      <c r="B66" t="s">
        <v>207</v>
      </c>
      <c r="C66" t="s">
        <v>208</v>
      </c>
      <c r="D66">
        <v>8004295219087</v>
      </c>
      <c r="E66" t="s">
        <v>3</v>
      </c>
      <c r="F66" t="s">
        <v>4</v>
      </c>
      <c r="G66" t="s">
        <v>5</v>
      </c>
      <c r="H66" t="s">
        <v>6</v>
      </c>
      <c r="I66">
        <v>58.58</v>
      </c>
      <c r="L66" s="1" t="s">
        <v>381</v>
      </c>
      <c r="M66" s="3">
        <v>0.5</v>
      </c>
    </row>
    <row r="67" spans="1:13" x14ac:dyDescent="0.25">
      <c r="L67" s="2" t="s">
        <v>382</v>
      </c>
      <c r="M67" s="3">
        <v>0.5</v>
      </c>
    </row>
    <row r="68" spans="1:13" x14ac:dyDescent="0.25">
      <c r="A68" t="s">
        <v>266</v>
      </c>
      <c r="B68" t="s">
        <v>267</v>
      </c>
      <c r="C68" t="s">
        <v>268</v>
      </c>
      <c r="D68">
        <v>9105175248085</v>
      </c>
      <c r="E68" t="s">
        <v>3</v>
      </c>
      <c r="F68" t="s">
        <v>4</v>
      </c>
      <c r="G68" t="s">
        <v>5</v>
      </c>
      <c r="H68" t="s">
        <v>6</v>
      </c>
      <c r="I68">
        <v>47.59</v>
      </c>
      <c r="L68" s="1" t="s">
        <v>381</v>
      </c>
      <c r="M68" s="3">
        <v>0.5</v>
      </c>
    </row>
    <row r="69" spans="1:13" x14ac:dyDescent="0.25">
      <c r="L69" s="2" t="s">
        <v>382</v>
      </c>
      <c r="M69" s="3">
        <v>0.5</v>
      </c>
    </row>
    <row r="70" spans="1:13" x14ac:dyDescent="0.25">
      <c r="A70" t="s">
        <v>278</v>
      </c>
      <c r="B70" t="s">
        <v>279</v>
      </c>
      <c r="C70" t="s">
        <v>280</v>
      </c>
      <c r="D70">
        <v>8411155166086</v>
      </c>
      <c r="E70" t="s">
        <v>3</v>
      </c>
      <c r="F70" t="s">
        <v>4</v>
      </c>
      <c r="G70" t="s">
        <v>5</v>
      </c>
      <c r="H70" t="s">
        <v>6</v>
      </c>
      <c r="I70">
        <v>51.98</v>
      </c>
      <c r="L70" s="1" t="s">
        <v>381</v>
      </c>
      <c r="M70" s="3">
        <v>0.5</v>
      </c>
    </row>
    <row r="71" spans="1:13" x14ac:dyDescent="0.25">
      <c r="L71" s="2" t="s">
        <v>382</v>
      </c>
      <c r="M71" s="3">
        <v>0.5</v>
      </c>
    </row>
    <row r="73" spans="1:13" x14ac:dyDescent="0.25">
      <c r="A73" t="s">
        <v>75</v>
      </c>
      <c r="B73" t="s">
        <v>76</v>
      </c>
      <c r="C73" t="s">
        <v>77</v>
      </c>
      <c r="D73">
        <v>8305125304084</v>
      </c>
      <c r="E73" t="s">
        <v>3</v>
      </c>
      <c r="F73" t="s">
        <v>4</v>
      </c>
      <c r="G73" t="s">
        <v>5</v>
      </c>
      <c r="H73" t="s">
        <v>6</v>
      </c>
      <c r="I73">
        <v>54.33</v>
      </c>
      <c r="L73" s="1" t="s">
        <v>374</v>
      </c>
      <c r="M73" s="3">
        <v>1</v>
      </c>
    </row>
    <row r="75" spans="1:13" x14ac:dyDescent="0.25">
      <c r="A75" t="s">
        <v>113</v>
      </c>
      <c r="B75" t="s">
        <v>114</v>
      </c>
      <c r="C75" t="s">
        <v>115</v>
      </c>
      <c r="D75">
        <v>9402145252085</v>
      </c>
      <c r="E75" t="s">
        <v>3</v>
      </c>
      <c r="F75" t="s">
        <v>4</v>
      </c>
      <c r="G75" t="s">
        <v>57</v>
      </c>
      <c r="H75" t="s">
        <v>6</v>
      </c>
      <c r="I75">
        <v>59.77</v>
      </c>
      <c r="L75" s="1" t="s">
        <v>381</v>
      </c>
      <c r="M75" s="3">
        <v>0.5</v>
      </c>
    </row>
    <row r="76" spans="1:13" x14ac:dyDescent="0.25">
      <c r="L76" s="2" t="s">
        <v>382</v>
      </c>
      <c r="M76" s="3">
        <v>0.5</v>
      </c>
    </row>
    <row r="77" spans="1:13" x14ac:dyDescent="0.25">
      <c r="A77" t="s">
        <v>192</v>
      </c>
      <c r="B77" t="s">
        <v>193</v>
      </c>
      <c r="C77" t="s">
        <v>2</v>
      </c>
      <c r="D77">
        <v>7712135184086</v>
      </c>
      <c r="E77" t="s">
        <v>3</v>
      </c>
      <c r="F77" t="s">
        <v>4</v>
      </c>
      <c r="G77" t="s">
        <v>10</v>
      </c>
      <c r="H77" t="s">
        <v>6</v>
      </c>
      <c r="I77">
        <v>75.930000000000007</v>
      </c>
    </row>
    <row r="79" spans="1:13" x14ac:dyDescent="0.25">
      <c r="C79" t="s">
        <v>377</v>
      </c>
      <c r="I79">
        <v>47.59</v>
      </c>
      <c r="L79" s="1" t="s">
        <v>381</v>
      </c>
      <c r="M79" s="3">
        <v>0.5</v>
      </c>
    </row>
    <row r="80" spans="1:13" x14ac:dyDescent="0.25">
      <c r="L80" s="2" t="s">
        <v>382</v>
      </c>
      <c r="M80" s="3">
        <v>0.5</v>
      </c>
    </row>
    <row r="82" spans="2:12" x14ac:dyDescent="0.25">
      <c r="B82" s="6" t="s">
        <v>386</v>
      </c>
    </row>
    <row r="83" spans="2:12" x14ac:dyDescent="0.25">
      <c r="I83">
        <v>47.59</v>
      </c>
      <c r="L83" s="2" t="s">
        <v>382</v>
      </c>
    </row>
    <row r="84" spans="2:12" x14ac:dyDescent="0.25">
      <c r="L84" s="1" t="s">
        <v>381</v>
      </c>
    </row>
    <row r="85" spans="2:12" x14ac:dyDescent="0.25">
      <c r="I85">
        <v>47.59</v>
      </c>
      <c r="L85" s="2" t="s">
        <v>382</v>
      </c>
    </row>
    <row r="86" spans="2:12" x14ac:dyDescent="0.25">
      <c r="L86" s="1" t="s">
        <v>381</v>
      </c>
    </row>
    <row r="87" spans="2:12" x14ac:dyDescent="0.25">
      <c r="I87">
        <v>47.59</v>
      </c>
      <c r="L87" s="2" t="s">
        <v>382</v>
      </c>
    </row>
    <row r="88" spans="2:12" x14ac:dyDescent="0.25">
      <c r="L88" s="1" t="s">
        <v>381</v>
      </c>
    </row>
    <row r="89" spans="2:12" x14ac:dyDescent="0.25">
      <c r="I89">
        <v>47.59</v>
      </c>
      <c r="L89" s="2" t="s">
        <v>382</v>
      </c>
    </row>
    <row r="90" spans="2:12" x14ac:dyDescent="0.25">
      <c r="L90" s="1" t="s">
        <v>381</v>
      </c>
    </row>
    <row r="91" spans="2:12" x14ac:dyDescent="0.25">
      <c r="I91">
        <v>47.59</v>
      </c>
      <c r="L91" s="2" t="s">
        <v>382</v>
      </c>
    </row>
    <row r="92" spans="2:12" x14ac:dyDescent="0.25">
      <c r="L92" s="1" t="s">
        <v>381</v>
      </c>
    </row>
    <row r="93" spans="2:12" x14ac:dyDescent="0.25">
      <c r="I93">
        <v>47.59</v>
      </c>
      <c r="L93" s="2" t="s">
        <v>382</v>
      </c>
    </row>
    <row r="94" spans="2:12" x14ac:dyDescent="0.25">
      <c r="L94" s="1" t="s">
        <v>381</v>
      </c>
    </row>
    <row r="95" spans="2:12" x14ac:dyDescent="0.25">
      <c r="I95">
        <v>47.59</v>
      </c>
      <c r="L95" s="2" t="s">
        <v>382</v>
      </c>
    </row>
    <row r="96" spans="2:12" x14ac:dyDescent="0.25">
      <c r="L96" s="1" t="s">
        <v>381</v>
      </c>
    </row>
    <row r="97" spans="1:12" x14ac:dyDescent="0.25">
      <c r="I97">
        <v>47.59</v>
      </c>
      <c r="L97" s="2" t="s">
        <v>382</v>
      </c>
    </row>
    <row r="98" spans="1:12" x14ac:dyDescent="0.25">
      <c r="L98" s="1" t="s">
        <v>381</v>
      </c>
    </row>
    <row r="100" spans="1:12" x14ac:dyDescent="0.25">
      <c r="I100">
        <v>54.33</v>
      </c>
      <c r="L100" s="1" t="s">
        <v>374</v>
      </c>
    </row>
    <row r="104" spans="1:12" x14ac:dyDescent="0.25">
      <c r="A104" t="s">
        <v>350</v>
      </c>
      <c r="B104" t="s">
        <v>351</v>
      </c>
      <c r="C104" t="s">
        <v>352</v>
      </c>
      <c r="D104">
        <v>8502185467088</v>
      </c>
      <c r="E104" t="s">
        <v>3</v>
      </c>
      <c r="F104" t="s">
        <v>4</v>
      </c>
      <c r="G104" t="s">
        <v>353</v>
      </c>
      <c r="H104" t="s">
        <v>304</v>
      </c>
      <c r="I104">
        <v>49.67</v>
      </c>
      <c r="L104" t="s">
        <v>387</v>
      </c>
    </row>
    <row r="105" spans="1:12" x14ac:dyDescent="0.25">
      <c r="A105" t="s">
        <v>300</v>
      </c>
      <c r="B105" t="s">
        <v>301</v>
      </c>
      <c r="C105" t="s">
        <v>302</v>
      </c>
      <c r="D105">
        <v>9305055185080</v>
      </c>
      <c r="E105" t="s">
        <v>3</v>
      </c>
      <c r="F105" t="s">
        <v>4</v>
      </c>
      <c r="G105" t="s">
        <v>303</v>
      </c>
      <c r="H105" t="s">
        <v>304</v>
      </c>
      <c r="I105">
        <v>59.77</v>
      </c>
      <c r="L105" t="s">
        <v>387</v>
      </c>
    </row>
    <row r="106" spans="1:12" x14ac:dyDescent="0.25">
      <c r="A106" t="s">
        <v>342</v>
      </c>
      <c r="B106" t="s">
        <v>76</v>
      </c>
      <c r="C106" t="s">
        <v>343</v>
      </c>
      <c r="D106">
        <v>7602165230083</v>
      </c>
      <c r="E106" t="s">
        <v>3</v>
      </c>
      <c r="F106" t="s">
        <v>4</v>
      </c>
      <c r="G106" t="s">
        <v>139</v>
      </c>
      <c r="H106" t="s">
        <v>304</v>
      </c>
      <c r="I106">
        <v>45.43</v>
      </c>
      <c r="L106" t="s">
        <v>387</v>
      </c>
    </row>
    <row r="107" spans="1:12" x14ac:dyDescent="0.25">
      <c r="A107" t="s">
        <v>94</v>
      </c>
      <c r="B107" t="s">
        <v>95</v>
      </c>
      <c r="C107" t="s">
        <v>67</v>
      </c>
      <c r="D107">
        <v>9310305124087</v>
      </c>
      <c r="E107" t="s">
        <v>3</v>
      </c>
      <c r="F107" t="s">
        <v>4</v>
      </c>
      <c r="G107" t="s">
        <v>96</v>
      </c>
      <c r="H107" t="s">
        <v>70</v>
      </c>
      <c r="I107">
        <v>47.59</v>
      </c>
      <c r="L107" t="s">
        <v>387</v>
      </c>
    </row>
    <row r="109" spans="1:12" x14ac:dyDescent="0.25">
      <c r="A109" s="6" t="s">
        <v>379</v>
      </c>
    </row>
    <row r="110" spans="1:12" x14ac:dyDescent="0.25">
      <c r="D110" t="s">
        <v>377</v>
      </c>
      <c r="I110">
        <v>47.59</v>
      </c>
    </row>
    <row r="113" spans="1:13" x14ac:dyDescent="0.25">
      <c r="A113" t="s">
        <v>147</v>
      </c>
      <c r="B113" t="s">
        <v>148</v>
      </c>
      <c r="C113" t="s">
        <v>149</v>
      </c>
      <c r="D113">
        <v>5912075118084</v>
      </c>
      <c r="E113" t="s">
        <v>3</v>
      </c>
      <c r="F113" t="s">
        <v>4</v>
      </c>
      <c r="G113" t="s">
        <v>150</v>
      </c>
      <c r="H113" t="s">
        <v>151</v>
      </c>
      <c r="I113">
        <v>43.59</v>
      </c>
      <c r="L113" t="s">
        <v>406</v>
      </c>
    </row>
    <row r="114" spans="1:13" x14ac:dyDescent="0.25">
      <c r="A114" t="s">
        <v>331</v>
      </c>
      <c r="B114" t="s">
        <v>267</v>
      </c>
      <c r="C114" t="s">
        <v>67</v>
      </c>
      <c r="D114">
        <v>7801205429081</v>
      </c>
      <c r="E114" t="s">
        <v>3</v>
      </c>
      <c r="F114" t="s">
        <v>4</v>
      </c>
      <c r="G114" t="s">
        <v>151</v>
      </c>
      <c r="H114" t="s">
        <v>151</v>
      </c>
      <c r="I114">
        <v>43.59</v>
      </c>
      <c r="L114" t="s">
        <v>406</v>
      </c>
    </row>
    <row r="115" spans="1:13" x14ac:dyDescent="0.25">
      <c r="A115" t="s">
        <v>332</v>
      </c>
      <c r="B115" t="s">
        <v>333</v>
      </c>
      <c r="C115" t="s">
        <v>277</v>
      </c>
      <c r="D115">
        <v>8403040102087</v>
      </c>
      <c r="E115" t="s">
        <v>68</v>
      </c>
      <c r="F115" t="s">
        <v>4</v>
      </c>
      <c r="G115" t="s">
        <v>151</v>
      </c>
      <c r="H115" t="s">
        <v>151</v>
      </c>
      <c r="I115">
        <v>42.8</v>
      </c>
      <c r="L115" t="s">
        <v>406</v>
      </c>
    </row>
    <row r="116" spans="1:13" x14ac:dyDescent="0.25">
      <c r="A116" t="s">
        <v>194</v>
      </c>
      <c r="B116" t="s">
        <v>195</v>
      </c>
      <c r="C116" t="s">
        <v>196</v>
      </c>
      <c r="D116">
        <v>7710125080082</v>
      </c>
      <c r="E116" t="s">
        <v>3</v>
      </c>
      <c r="F116" t="s">
        <v>4</v>
      </c>
      <c r="G116" t="s">
        <v>10</v>
      </c>
      <c r="H116" t="s">
        <v>151</v>
      </c>
      <c r="I116">
        <v>59.87</v>
      </c>
      <c r="L116" t="s">
        <v>406</v>
      </c>
    </row>
    <row r="117" spans="1:13" x14ac:dyDescent="0.25">
      <c r="B117" t="s">
        <v>377</v>
      </c>
      <c r="I117">
        <v>43.59</v>
      </c>
      <c r="L117" t="s">
        <v>406</v>
      </c>
    </row>
    <row r="121" spans="1:13" x14ac:dyDescent="0.25">
      <c r="A121" t="s">
        <v>337</v>
      </c>
      <c r="B121" t="s">
        <v>338</v>
      </c>
      <c r="C121" t="s">
        <v>339</v>
      </c>
      <c r="D121">
        <v>7904145192080</v>
      </c>
      <c r="E121" t="s">
        <v>3</v>
      </c>
      <c r="F121" t="s">
        <v>4</v>
      </c>
      <c r="G121" t="s">
        <v>108</v>
      </c>
      <c r="H121" t="s">
        <v>16</v>
      </c>
      <c r="I121">
        <v>47.59</v>
      </c>
      <c r="L121" s="2" t="s">
        <v>388</v>
      </c>
      <c r="M121" s="3">
        <v>0.25</v>
      </c>
    </row>
    <row r="122" spans="1:13" x14ac:dyDescent="0.25">
      <c r="L122" s="1" t="s">
        <v>389</v>
      </c>
      <c r="M122" s="3">
        <v>0.25</v>
      </c>
    </row>
    <row r="123" spans="1:13" x14ac:dyDescent="0.25">
      <c r="L123" s="2" t="s">
        <v>390</v>
      </c>
      <c r="M123" s="3">
        <v>0.25</v>
      </c>
    </row>
    <row r="124" spans="1:13" x14ac:dyDescent="0.25">
      <c r="L124" s="1" t="s">
        <v>391</v>
      </c>
      <c r="M124" s="3">
        <v>0.25</v>
      </c>
    </row>
    <row r="125" spans="1:13" x14ac:dyDescent="0.25">
      <c r="A125" t="s">
        <v>363</v>
      </c>
      <c r="B125" t="s">
        <v>364</v>
      </c>
      <c r="C125" t="s">
        <v>365</v>
      </c>
      <c r="D125">
        <v>9204205250086</v>
      </c>
      <c r="E125" t="s">
        <v>3</v>
      </c>
      <c r="F125" t="s">
        <v>4</v>
      </c>
      <c r="G125" t="s">
        <v>108</v>
      </c>
      <c r="H125" t="s">
        <v>16</v>
      </c>
      <c r="I125">
        <v>47.59</v>
      </c>
      <c r="L125" s="2" t="s">
        <v>388</v>
      </c>
      <c r="M125" s="3">
        <v>0.25</v>
      </c>
    </row>
    <row r="126" spans="1:13" x14ac:dyDescent="0.25">
      <c r="L126" s="1" t="s">
        <v>389</v>
      </c>
      <c r="M126" s="3">
        <v>0.25</v>
      </c>
    </row>
    <row r="127" spans="1:13" x14ac:dyDescent="0.25">
      <c r="L127" s="2" t="s">
        <v>390</v>
      </c>
      <c r="M127" s="3">
        <v>0.25</v>
      </c>
    </row>
    <row r="128" spans="1:13" x14ac:dyDescent="0.25">
      <c r="L128" s="1" t="s">
        <v>391</v>
      </c>
      <c r="M128" s="3">
        <v>0.25</v>
      </c>
    </row>
    <row r="129" spans="1:13" x14ac:dyDescent="0.25">
      <c r="A129" t="s">
        <v>143</v>
      </c>
      <c r="B129" t="s">
        <v>144</v>
      </c>
      <c r="C129" t="s">
        <v>145</v>
      </c>
      <c r="D129">
        <v>8806285263085</v>
      </c>
      <c r="E129" t="s">
        <v>3</v>
      </c>
      <c r="F129" t="s">
        <v>4</v>
      </c>
      <c r="G129" t="s">
        <v>146</v>
      </c>
      <c r="H129" t="s">
        <v>16</v>
      </c>
      <c r="I129">
        <v>47.59</v>
      </c>
      <c r="L129" s="2" t="s">
        <v>388</v>
      </c>
      <c r="M129" s="3">
        <v>0.25</v>
      </c>
    </row>
    <row r="130" spans="1:13" x14ac:dyDescent="0.25">
      <c r="L130" s="1" t="s">
        <v>389</v>
      </c>
      <c r="M130" s="3">
        <v>0.25</v>
      </c>
    </row>
    <row r="131" spans="1:13" x14ac:dyDescent="0.25">
      <c r="L131" s="1" t="s">
        <v>391</v>
      </c>
      <c r="M131" s="3">
        <v>0.25</v>
      </c>
    </row>
    <row r="132" spans="1:13" x14ac:dyDescent="0.25">
      <c r="L132" s="2" t="s">
        <v>390</v>
      </c>
      <c r="M132" s="3">
        <v>0.25</v>
      </c>
    </row>
    <row r="134" spans="1:13" x14ac:dyDescent="0.25">
      <c r="A134" t="s">
        <v>97</v>
      </c>
      <c r="B134" t="s">
        <v>98</v>
      </c>
      <c r="C134" t="s">
        <v>99</v>
      </c>
      <c r="D134">
        <v>9102195296087</v>
      </c>
      <c r="E134" t="s">
        <v>3</v>
      </c>
      <c r="F134" t="s">
        <v>4</v>
      </c>
      <c r="G134" t="s">
        <v>100</v>
      </c>
      <c r="H134" t="s">
        <v>16</v>
      </c>
      <c r="I134">
        <v>59.77</v>
      </c>
      <c r="L134" s="1" t="s">
        <v>389</v>
      </c>
      <c r="M134" s="3">
        <v>1</v>
      </c>
    </row>
    <row r="135" spans="1:13" x14ac:dyDescent="0.25">
      <c r="A135" t="s">
        <v>109</v>
      </c>
      <c r="B135" t="s">
        <v>110</v>
      </c>
      <c r="C135" t="s">
        <v>111</v>
      </c>
      <c r="D135">
        <v>8612035049083</v>
      </c>
      <c r="E135" t="s">
        <v>3</v>
      </c>
      <c r="F135" t="s">
        <v>4</v>
      </c>
      <c r="G135" t="s">
        <v>112</v>
      </c>
      <c r="H135" t="s">
        <v>16</v>
      </c>
      <c r="I135">
        <v>58.58</v>
      </c>
      <c r="L135" s="1" t="s">
        <v>392</v>
      </c>
      <c r="M135" s="3">
        <v>1</v>
      </c>
    </row>
    <row r="136" spans="1:13" x14ac:dyDescent="0.25">
      <c r="A136" t="s">
        <v>130</v>
      </c>
      <c r="B136" t="s">
        <v>131</v>
      </c>
      <c r="C136" t="s">
        <v>132</v>
      </c>
      <c r="D136">
        <v>8311135249087</v>
      </c>
      <c r="E136" t="s">
        <v>3</v>
      </c>
      <c r="F136" t="s">
        <v>4</v>
      </c>
      <c r="G136" t="s">
        <v>108</v>
      </c>
      <c r="H136" t="s">
        <v>16</v>
      </c>
      <c r="I136">
        <v>54.33</v>
      </c>
      <c r="L136" s="1" t="s">
        <v>389</v>
      </c>
      <c r="M136" s="3">
        <v>1</v>
      </c>
    </row>
    <row r="137" spans="1:13" x14ac:dyDescent="0.25">
      <c r="A137" t="s">
        <v>323</v>
      </c>
      <c r="B137" t="s">
        <v>324</v>
      </c>
      <c r="C137" t="s">
        <v>325</v>
      </c>
      <c r="D137">
        <v>9305125314082</v>
      </c>
      <c r="E137" t="s">
        <v>3</v>
      </c>
      <c r="F137" t="s">
        <v>4</v>
      </c>
      <c r="G137" t="s">
        <v>27</v>
      </c>
      <c r="H137" t="s">
        <v>16</v>
      </c>
      <c r="I137">
        <v>45.43</v>
      </c>
      <c r="L137" s="1" t="s">
        <v>389</v>
      </c>
      <c r="M137" s="3">
        <v>1</v>
      </c>
    </row>
    <row r="138" spans="1:13" x14ac:dyDescent="0.25">
      <c r="A138" t="s">
        <v>223</v>
      </c>
      <c r="B138" t="s">
        <v>224</v>
      </c>
      <c r="C138" t="s">
        <v>225</v>
      </c>
      <c r="D138">
        <v>9103255409081</v>
      </c>
      <c r="E138" t="s">
        <v>3</v>
      </c>
      <c r="F138" t="s">
        <v>4</v>
      </c>
      <c r="G138" t="s">
        <v>45</v>
      </c>
      <c r="H138" t="s">
        <v>16</v>
      </c>
      <c r="I138">
        <v>58.58</v>
      </c>
      <c r="L138" s="2" t="s">
        <v>393</v>
      </c>
      <c r="M138" s="3">
        <v>1</v>
      </c>
    </row>
    <row r="140" spans="1:13" x14ac:dyDescent="0.25">
      <c r="A140" t="s">
        <v>197</v>
      </c>
      <c r="B140" t="s">
        <v>198</v>
      </c>
      <c r="C140" t="s">
        <v>169</v>
      </c>
      <c r="D140">
        <v>7008115249084</v>
      </c>
      <c r="E140" t="s">
        <v>3</v>
      </c>
      <c r="F140" t="s">
        <v>4</v>
      </c>
      <c r="G140" t="s">
        <v>10</v>
      </c>
      <c r="H140" t="s">
        <v>16</v>
      </c>
      <c r="I140">
        <v>83.52</v>
      </c>
    </row>
    <row r="141" spans="1:13" x14ac:dyDescent="0.25">
      <c r="L141" s="4"/>
    </row>
    <row r="142" spans="1:13" x14ac:dyDescent="0.25">
      <c r="B142" s="6" t="s">
        <v>379</v>
      </c>
      <c r="L142" s="4"/>
    </row>
    <row r="143" spans="1:13" x14ac:dyDescent="0.25">
      <c r="C143" t="s">
        <v>377</v>
      </c>
      <c r="I143">
        <v>47.59</v>
      </c>
      <c r="L143" s="1" t="s">
        <v>389</v>
      </c>
    </row>
    <row r="144" spans="1:13" x14ac:dyDescent="0.25">
      <c r="C144" t="s">
        <v>377</v>
      </c>
      <c r="I144">
        <v>47.59</v>
      </c>
      <c r="L144" s="1" t="s">
        <v>389</v>
      </c>
    </row>
    <row r="145" spans="1:13" x14ac:dyDescent="0.25">
      <c r="C145" t="s">
        <v>377</v>
      </c>
      <c r="I145">
        <v>47.59</v>
      </c>
      <c r="L145" s="2" t="s">
        <v>388</v>
      </c>
      <c r="M145" s="3">
        <v>0.33</v>
      </c>
    </row>
    <row r="146" spans="1:13" x14ac:dyDescent="0.25">
      <c r="L146" s="1" t="s">
        <v>391</v>
      </c>
      <c r="M146" s="3">
        <v>0.33</v>
      </c>
    </row>
    <row r="147" spans="1:13" x14ac:dyDescent="0.25">
      <c r="L147" s="2" t="s">
        <v>390</v>
      </c>
      <c r="M147" s="3">
        <v>0.33</v>
      </c>
    </row>
    <row r="148" spans="1:13" x14ac:dyDescent="0.25">
      <c r="C148" t="s">
        <v>377</v>
      </c>
      <c r="I148">
        <v>47.59</v>
      </c>
      <c r="L148" s="2" t="s">
        <v>388</v>
      </c>
      <c r="M148" s="3">
        <v>0.33</v>
      </c>
    </row>
    <row r="149" spans="1:13" x14ac:dyDescent="0.25">
      <c r="L149" s="1" t="s">
        <v>391</v>
      </c>
      <c r="M149" s="3">
        <v>0.33</v>
      </c>
    </row>
    <row r="150" spans="1:13" x14ac:dyDescent="0.25">
      <c r="L150" s="2" t="s">
        <v>390</v>
      </c>
      <c r="M150" s="3">
        <v>0.33</v>
      </c>
    </row>
    <row r="151" spans="1:13" x14ac:dyDescent="0.25">
      <c r="L151" s="5"/>
    </row>
    <row r="153" spans="1:13" x14ac:dyDescent="0.25">
      <c r="A153" t="s">
        <v>105</v>
      </c>
      <c r="B153" t="s">
        <v>106</v>
      </c>
      <c r="C153" t="s">
        <v>107</v>
      </c>
      <c r="D153">
        <v>9312095196085</v>
      </c>
      <c r="E153" t="s">
        <v>3</v>
      </c>
      <c r="F153" t="s">
        <v>4</v>
      </c>
      <c r="G153" t="s">
        <v>108</v>
      </c>
      <c r="H153" t="s">
        <v>28</v>
      </c>
      <c r="I153">
        <v>54.33</v>
      </c>
      <c r="L153" s="7" t="s">
        <v>403</v>
      </c>
      <c r="M153" s="3">
        <v>0.25</v>
      </c>
    </row>
    <row r="154" spans="1:13" x14ac:dyDescent="0.25">
      <c r="L154" s="7" t="s">
        <v>394</v>
      </c>
      <c r="M154" s="3">
        <v>0.25</v>
      </c>
    </row>
    <row r="155" spans="1:13" x14ac:dyDescent="0.25">
      <c r="L155" s="7" t="s">
        <v>404</v>
      </c>
      <c r="M155" s="3">
        <v>0.25</v>
      </c>
    </row>
    <row r="156" spans="1:13" x14ac:dyDescent="0.25">
      <c r="L156" s="7" t="s">
        <v>405</v>
      </c>
      <c r="M156" s="3">
        <v>0.25</v>
      </c>
    </row>
    <row r="157" spans="1:13" x14ac:dyDescent="0.25">
      <c r="L157" s="5"/>
    </row>
    <row r="158" spans="1:13" x14ac:dyDescent="0.25">
      <c r="A158" t="s">
        <v>42</v>
      </c>
      <c r="B158" t="s">
        <v>43</v>
      </c>
      <c r="C158" t="s">
        <v>44</v>
      </c>
      <c r="D158">
        <v>6404205918087</v>
      </c>
      <c r="E158" t="s">
        <v>3</v>
      </c>
      <c r="F158" t="s">
        <v>40</v>
      </c>
      <c r="G158" t="s">
        <v>45</v>
      </c>
      <c r="H158" t="s">
        <v>28</v>
      </c>
      <c r="I158">
        <v>54.33</v>
      </c>
      <c r="L158" s="2" t="s">
        <v>393</v>
      </c>
      <c r="M158" s="3">
        <v>1</v>
      </c>
    </row>
    <row r="159" spans="1:13" x14ac:dyDescent="0.25">
      <c r="L159" s="5"/>
    </row>
    <row r="160" spans="1:13" x14ac:dyDescent="0.25">
      <c r="A160" s="8" t="s">
        <v>152</v>
      </c>
      <c r="B160" s="9" t="s">
        <v>153</v>
      </c>
      <c r="C160" s="9" t="s">
        <v>154</v>
      </c>
      <c r="D160" s="9">
        <v>8909265756084</v>
      </c>
      <c r="E160" s="9" t="s">
        <v>3</v>
      </c>
      <c r="F160" s="9" t="s">
        <v>40</v>
      </c>
      <c r="G160" s="9" t="s">
        <v>108</v>
      </c>
      <c r="H160" s="9" t="s">
        <v>28</v>
      </c>
      <c r="I160" s="10">
        <v>54.33</v>
      </c>
      <c r="L160" s="5" t="s">
        <v>396</v>
      </c>
    </row>
    <row r="161" spans="1:13" x14ac:dyDescent="0.25">
      <c r="A161" s="11" t="s">
        <v>275</v>
      </c>
      <c r="B161" t="s">
        <v>276</v>
      </c>
      <c r="C161" t="s">
        <v>277</v>
      </c>
      <c r="D161">
        <v>8012095079080</v>
      </c>
      <c r="E161" t="s">
        <v>3</v>
      </c>
      <c r="F161" t="s">
        <v>4</v>
      </c>
      <c r="G161" t="s">
        <v>108</v>
      </c>
      <c r="H161" t="s">
        <v>28</v>
      </c>
      <c r="I161" s="12">
        <v>47.59</v>
      </c>
      <c r="L161" s="5" t="s">
        <v>396</v>
      </c>
    </row>
    <row r="162" spans="1:13" x14ac:dyDescent="0.25">
      <c r="A162" s="13" t="s">
        <v>357</v>
      </c>
      <c r="B162" s="14" t="s">
        <v>358</v>
      </c>
      <c r="C162" s="14" t="s">
        <v>359</v>
      </c>
      <c r="D162" s="14">
        <v>8704036237088</v>
      </c>
      <c r="E162" s="14" t="s">
        <v>3</v>
      </c>
      <c r="F162" s="14" t="s">
        <v>40</v>
      </c>
      <c r="G162" s="14" t="s">
        <v>146</v>
      </c>
      <c r="H162" s="14" t="s">
        <v>11</v>
      </c>
      <c r="I162" s="15">
        <v>43.59</v>
      </c>
      <c r="L162" s="5" t="s">
        <v>396</v>
      </c>
    </row>
    <row r="163" spans="1:13" x14ac:dyDescent="0.25">
      <c r="I163">
        <f>SUM(I160:I162)</f>
        <v>145.51</v>
      </c>
      <c r="L163" s="5"/>
    </row>
    <row r="164" spans="1:13" x14ac:dyDescent="0.25">
      <c r="L164" s="7" t="s">
        <v>403</v>
      </c>
      <c r="M164" s="3">
        <v>0.125</v>
      </c>
    </row>
    <row r="165" spans="1:13" x14ac:dyDescent="0.25">
      <c r="L165" s="7" t="s">
        <v>394</v>
      </c>
      <c r="M165" s="3">
        <v>0.125</v>
      </c>
    </row>
    <row r="166" spans="1:13" x14ac:dyDescent="0.25">
      <c r="L166" s="7" t="s">
        <v>404</v>
      </c>
      <c r="M166" s="3">
        <v>0.125</v>
      </c>
    </row>
    <row r="167" spans="1:13" x14ac:dyDescent="0.25">
      <c r="L167" s="7" t="s">
        <v>405</v>
      </c>
      <c r="M167" s="3">
        <v>0.125</v>
      </c>
    </row>
    <row r="168" spans="1:13" x14ac:dyDescent="0.25">
      <c r="L168" s="2" t="s">
        <v>388</v>
      </c>
      <c r="M168" s="3">
        <v>0.125</v>
      </c>
    </row>
    <row r="169" spans="1:13" x14ac:dyDescent="0.25">
      <c r="L169" s="1" t="s">
        <v>391</v>
      </c>
      <c r="M169" s="3">
        <v>0.125</v>
      </c>
    </row>
    <row r="170" spans="1:13" x14ac:dyDescent="0.25">
      <c r="L170" s="2" t="s">
        <v>390</v>
      </c>
      <c r="M170" s="3">
        <v>0.125</v>
      </c>
    </row>
    <row r="172" spans="1:13" x14ac:dyDescent="0.25">
      <c r="L172" s="5"/>
    </row>
    <row r="173" spans="1:13" x14ac:dyDescent="0.25">
      <c r="L173" s="5"/>
    </row>
    <row r="174" spans="1:13" x14ac:dyDescent="0.25">
      <c r="A174" t="s">
        <v>25</v>
      </c>
      <c r="B174" t="s">
        <v>13</v>
      </c>
      <c r="C174" t="s">
        <v>26</v>
      </c>
      <c r="D174">
        <v>6507265163087</v>
      </c>
      <c r="E174" t="s">
        <v>3</v>
      </c>
      <c r="F174" t="s">
        <v>4</v>
      </c>
      <c r="G174" t="s">
        <v>27</v>
      </c>
      <c r="H174" t="s">
        <v>28</v>
      </c>
      <c r="I174">
        <v>54.33</v>
      </c>
      <c r="L174" s="7" t="s">
        <v>394</v>
      </c>
      <c r="M174" s="3">
        <v>1</v>
      </c>
    </row>
    <row r="176" spans="1:13" x14ac:dyDescent="0.25">
      <c r="A176" t="s">
        <v>202</v>
      </c>
      <c r="B176" t="s">
        <v>203</v>
      </c>
      <c r="C176" t="s">
        <v>204</v>
      </c>
      <c r="D176">
        <v>8201265247086</v>
      </c>
      <c r="E176" t="s">
        <v>3</v>
      </c>
      <c r="F176" t="s">
        <v>4</v>
      </c>
      <c r="G176" t="s">
        <v>205</v>
      </c>
      <c r="H176" t="s">
        <v>28</v>
      </c>
      <c r="I176">
        <v>60.03</v>
      </c>
      <c r="L176" s="1" t="s">
        <v>389</v>
      </c>
      <c r="M176" s="3">
        <v>0.5</v>
      </c>
    </row>
    <row r="177" spans="1:13" x14ac:dyDescent="0.25">
      <c r="L177" s="7" t="s">
        <v>403</v>
      </c>
      <c r="M177" s="3">
        <v>0.125</v>
      </c>
    </row>
    <row r="178" spans="1:13" x14ac:dyDescent="0.25">
      <c r="L178" s="7" t="s">
        <v>394</v>
      </c>
      <c r="M178" s="3">
        <v>0.125</v>
      </c>
    </row>
    <row r="179" spans="1:13" x14ac:dyDescent="0.25">
      <c r="L179" s="7" t="s">
        <v>404</v>
      </c>
      <c r="M179" s="3">
        <v>0.125</v>
      </c>
    </row>
    <row r="180" spans="1:13" x14ac:dyDescent="0.25">
      <c r="L180" s="7" t="s">
        <v>405</v>
      </c>
      <c r="M180" s="3">
        <v>0.125</v>
      </c>
    </row>
    <row r="182" spans="1:13" x14ac:dyDescent="0.25">
      <c r="A182" t="s">
        <v>199</v>
      </c>
      <c r="B182" t="s">
        <v>200</v>
      </c>
      <c r="C182" t="s">
        <v>201</v>
      </c>
      <c r="D182">
        <v>7112175612080</v>
      </c>
      <c r="E182" t="s">
        <v>3</v>
      </c>
      <c r="F182" t="s">
        <v>4</v>
      </c>
      <c r="G182" t="s">
        <v>10</v>
      </c>
      <c r="H182" t="s">
        <v>28</v>
      </c>
      <c r="I182">
        <v>82.18</v>
      </c>
    </row>
    <row r="183" spans="1:13" x14ac:dyDescent="0.25">
      <c r="A183" t="s">
        <v>189</v>
      </c>
      <c r="B183" t="s">
        <v>190</v>
      </c>
      <c r="C183" t="s">
        <v>191</v>
      </c>
      <c r="D183">
        <v>6805225148085</v>
      </c>
      <c r="E183" t="s">
        <v>3</v>
      </c>
      <c r="F183" t="s">
        <v>4</v>
      </c>
      <c r="G183" t="s">
        <v>45</v>
      </c>
      <c r="H183" t="s">
        <v>28</v>
      </c>
      <c r="I183">
        <v>54.33</v>
      </c>
      <c r="L183" s="1" t="s">
        <v>395</v>
      </c>
      <c r="M183" s="3">
        <v>1</v>
      </c>
    </row>
    <row r="185" spans="1:13" x14ac:dyDescent="0.25">
      <c r="C185" t="s">
        <v>377</v>
      </c>
      <c r="G185" t="s">
        <v>112</v>
      </c>
      <c r="H185" t="s">
        <v>16</v>
      </c>
      <c r="I185">
        <v>58.58</v>
      </c>
      <c r="L185" s="1" t="s">
        <v>392</v>
      </c>
    </row>
    <row r="186" spans="1:13" x14ac:dyDescent="0.25">
      <c r="L186" s="4"/>
    </row>
    <row r="187" spans="1:13" x14ac:dyDescent="0.25">
      <c r="A187" s="6" t="s">
        <v>386</v>
      </c>
      <c r="L187" s="4"/>
    </row>
    <row r="188" spans="1:13" x14ac:dyDescent="0.25">
      <c r="C188" t="s">
        <v>377</v>
      </c>
      <c r="L188" s="5" t="s">
        <v>396</v>
      </c>
    </row>
    <row r="189" spans="1:13" x14ac:dyDescent="0.25">
      <c r="C189" t="s">
        <v>377</v>
      </c>
      <c r="L189" s="5" t="s">
        <v>396</v>
      </c>
    </row>
    <row r="190" spans="1:13" x14ac:dyDescent="0.25">
      <c r="C190" t="s">
        <v>377</v>
      </c>
      <c r="L190" s="5" t="s">
        <v>396</v>
      </c>
    </row>
    <row r="196" spans="1:12" x14ac:dyDescent="0.25">
      <c r="A196" t="s">
        <v>212</v>
      </c>
      <c r="B196" t="s">
        <v>213</v>
      </c>
      <c r="C196" t="s">
        <v>214</v>
      </c>
      <c r="D196">
        <v>6807185154087</v>
      </c>
      <c r="E196" t="s">
        <v>3</v>
      </c>
      <c r="F196" t="s">
        <v>4</v>
      </c>
      <c r="G196" t="s">
        <v>215</v>
      </c>
      <c r="H196" t="s">
        <v>70</v>
      </c>
      <c r="I196">
        <v>58.58</v>
      </c>
      <c r="J196" t="s">
        <v>368</v>
      </c>
      <c r="L196" s="2" t="s">
        <v>402</v>
      </c>
    </row>
    <row r="197" spans="1:12" x14ac:dyDescent="0.25">
      <c r="A197" t="s">
        <v>65</v>
      </c>
      <c r="B197" t="s">
        <v>66</v>
      </c>
      <c r="C197" t="s">
        <v>67</v>
      </c>
      <c r="D197">
        <v>7910200222084</v>
      </c>
      <c r="E197" t="s">
        <v>68</v>
      </c>
      <c r="F197" t="s">
        <v>4</v>
      </c>
      <c r="G197" t="s">
        <v>69</v>
      </c>
      <c r="H197" t="s">
        <v>70</v>
      </c>
      <c r="I197">
        <v>51.98</v>
      </c>
      <c r="J197" t="s">
        <v>368</v>
      </c>
      <c r="L197" s="2" t="s">
        <v>402</v>
      </c>
    </row>
    <row r="198" spans="1:12" x14ac:dyDescent="0.25">
      <c r="A198" t="s">
        <v>226</v>
      </c>
      <c r="B198" t="s">
        <v>63</v>
      </c>
      <c r="C198" t="s">
        <v>227</v>
      </c>
      <c r="D198">
        <v>7702025260088</v>
      </c>
      <c r="E198" t="s">
        <v>3</v>
      </c>
      <c r="F198" t="s">
        <v>4</v>
      </c>
      <c r="G198" t="s">
        <v>69</v>
      </c>
      <c r="H198" t="s">
        <v>70</v>
      </c>
      <c r="I198">
        <v>51.98</v>
      </c>
      <c r="K198" t="s">
        <v>368</v>
      </c>
      <c r="L198" s="2" t="s">
        <v>402</v>
      </c>
    </row>
    <row r="199" spans="1:12" x14ac:dyDescent="0.25">
      <c r="A199" t="s">
        <v>136</v>
      </c>
      <c r="B199" t="s">
        <v>137</v>
      </c>
      <c r="C199" t="s">
        <v>138</v>
      </c>
      <c r="D199">
        <v>8603225084089</v>
      </c>
      <c r="E199" t="s">
        <v>3</v>
      </c>
      <c r="F199" t="s">
        <v>4</v>
      </c>
      <c r="G199" t="s">
        <v>139</v>
      </c>
      <c r="H199" t="s">
        <v>70</v>
      </c>
      <c r="I199">
        <v>45.43</v>
      </c>
      <c r="J199" t="s">
        <v>368</v>
      </c>
      <c r="L199" s="1" t="s">
        <v>400</v>
      </c>
    </row>
    <row r="200" spans="1:12" x14ac:dyDescent="0.25">
      <c r="A200" t="s">
        <v>155</v>
      </c>
      <c r="B200" t="s">
        <v>156</v>
      </c>
      <c r="C200" t="s">
        <v>157</v>
      </c>
      <c r="D200">
        <v>9003280895082</v>
      </c>
      <c r="E200" t="s">
        <v>68</v>
      </c>
      <c r="F200" t="s">
        <v>40</v>
      </c>
      <c r="G200" t="s">
        <v>139</v>
      </c>
      <c r="H200" t="s">
        <v>70</v>
      </c>
      <c r="I200">
        <v>45.43</v>
      </c>
      <c r="J200" t="s">
        <v>368</v>
      </c>
      <c r="L200" s="2" t="s">
        <v>402</v>
      </c>
    </row>
    <row r="201" spans="1:12" x14ac:dyDescent="0.25">
      <c r="A201" t="s">
        <v>158</v>
      </c>
      <c r="B201" t="s">
        <v>159</v>
      </c>
      <c r="C201" t="s">
        <v>160</v>
      </c>
      <c r="D201">
        <v>8004085334088</v>
      </c>
      <c r="E201" t="s">
        <v>3</v>
      </c>
      <c r="F201" t="s">
        <v>40</v>
      </c>
      <c r="G201" t="s">
        <v>139</v>
      </c>
      <c r="H201" t="s">
        <v>70</v>
      </c>
      <c r="I201">
        <v>45.43</v>
      </c>
      <c r="K201" t="s">
        <v>368</v>
      </c>
      <c r="L201" s="1" t="s">
        <v>401</v>
      </c>
    </row>
    <row r="202" spans="1:12" x14ac:dyDescent="0.25">
      <c r="A202" t="s">
        <v>260</v>
      </c>
      <c r="B202" t="s">
        <v>261</v>
      </c>
      <c r="C202" t="s">
        <v>262</v>
      </c>
      <c r="D202">
        <v>8512175239082</v>
      </c>
      <c r="E202" t="s">
        <v>3</v>
      </c>
      <c r="F202" t="s">
        <v>4</v>
      </c>
      <c r="G202" t="s">
        <v>139</v>
      </c>
      <c r="H202" t="s">
        <v>70</v>
      </c>
      <c r="I202">
        <v>45.43</v>
      </c>
      <c r="J202" t="s">
        <v>368</v>
      </c>
      <c r="L202" s="1" t="s">
        <v>401</v>
      </c>
    </row>
    <row r="203" spans="1:12" x14ac:dyDescent="0.25">
      <c r="A203" t="s">
        <v>281</v>
      </c>
      <c r="B203" t="s">
        <v>282</v>
      </c>
      <c r="C203" t="s">
        <v>283</v>
      </c>
      <c r="D203">
        <v>7810315153085</v>
      </c>
      <c r="E203" t="s">
        <v>3</v>
      </c>
      <c r="F203" t="s">
        <v>4</v>
      </c>
      <c r="G203" t="s">
        <v>139</v>
      </c>
      <c r="H203" t="s">
        <v>70</v>
      </c>
      <c r="I203">
        <v>45.43</v>
      </c>
      <c r="K203" t="s">
        <v>368</v>
      </c>
      <c r="L203" s="2" t="s">
        <v>402</v>
      </c>
    </row>
    <row r="204" spans="1:12" x14ac:dyDescent="0.25">
      <c r="A204" t="s">
        <v>291</v>
      </c>
      <c r="B204" t="s">
        <v>292</v>
      </c>
      <c r="C204" t="s">
        <v>293</v>
      </c>
      <c r="D204">
        <v>9804075270088</v>
      </c>
      <c r="E204" t="s">
        <v>3</v>
      </c>
      <c r="F204" t="s">
        <v>4</v>
      </c>
      <c r="G204" t="s">
        <v>139</v>
      </c>
      <c r="H204" t="s">
        <v>70</v>
      </c>
      <c r="I204">
        <v>45.43</v>
      </c>
      <c r="K204" t="s">
        <v>368</v>
      </c>
      <c r="L204" s="2" t="s">
        <v>402</v>
      </c>
    </row>
    <row r="205" spans="1:12" x14ac:dyDescent="0.25">
      <c r="A205" t="s">
        <v>294</v>
      </c>
      <c r="B205" t="s">
        <v>295</v>
      </c>
      <c r="C205" t="s">
        <v>296</v>
      </c>
      <c r="D205">
        <v>7809305089085</v>
      </c>
      <c r="E205" t="s">
        <v>3</v>
      </c>
      <c r="F205" t="s">
        <v>4</v>
      </c>
      <c r="G205" t="s">
        <v>139</v>
      </c>
      <c r="H205" t="s">
        <v>70</v>
      </c>
      <c r="I205">
        <v>45.43</v>
      </c>
      <c r="J205" t="s">
        <v>368</v>
      </c>
      <c r="L205" s="2" t="s">
        <v>402</v>
      </c>
    </row>
    <row r="206" spans="1:12" x14ac:dyDescent="0.25">
      <c r="A206" t="s">
        <v>297</v>
      </c>
      <c r="B206" t="s">
        <v>298</v>
      </c>
      <c r="C206" t="s">
        <v>299</v>
      </c>
      <c r="D206">
        <v>8505065225088</v>
      </c>
      <c r="E206" t="s">
        <v>3</v>
      </c>
      <c r="F206" t="s">
        <v>4</v>
      </c>
      <c r="G206" t="s">
        <v>139</v>
      </c>
      <c r="H206" t="s">
        <v>70</v>
      </c>
      <c r="I206">
        <v>45.43</v>
      </c>
      <c r="K206" t="s">
        <v>368</v>
      </c>
      <c r="L206" s="2" t="s">
        <v>402</v>
      </c>
    </row>
    <row r="207" spans="1:12" x14ac:dyDescent="0.25">
      <c r="A207" t="s">
        <v>334</v>
      </c>
      <c r="B207" t="s">
        <v>335</v>
      </c>
      <c r="C207" t="s">
        <v>336</v>
      </c>
      <c r="D207">
        <v>7904085209084</v>
      </c>
      <c r="E207" t="s">
        <v>3</v>
      </c>
      <c r="F207" t="s">
        <v>4</v>
      </c>
      <c r="G207" t="s">
        <v>139</v>
      </c>
      <c r="H207" t="s">
        <v>70</v>
      </c>
      <c r="I207">
        <v>45.43</v>
      </c>
      <c r="J207" t="s">
        <v>368</v>
      </c>
      <c r="L207" s="2" t="s">
        <v>402</v>
      </c>
    </row>
    <row r="208" spans="1:12" x14ac:dyDescent="0.25">
      <c r="A208" t="s">
        <v>347</v>
      </c>
      <c r="B208" t="s">
        <v>348</v>
      </c>
      <c r="C208" t="s">
        <v>349</v>
      </c>
      <c r="D208">
        <v>8209125163088</v>
      </c>
      <c r="E208" t="s">
        <v>3</v>
      </c>
      <c r="F208" t="s">
        <v>4</v>
      </c>
      <c r="G208" t="s">
        <v>139</v>
      </c>
      <c r="H208" t="s">
        <v>70</v>
      </c>
      <c r="I208">
        <v>45.43</v>
      </c>
      <c r="K208" t="s">
        <v>368</v>
      </c>
      <c r="L208" s="2" t="s">
        <v>402</v>
      </c>
    </row>
    <row r="209" spans="1:12" x14ac:dyDescent="0.25">
      <c r="A209" t="s">
        <v>161</v>
      </c>
      <c r="B209" t="s">
        <v>162</v>
      </c>
      <c r="C209" t="s">
        <v>163</v>
      </c>
      <c r="D209">
        <v>9311010277087</v>
      </c>
      <c r="E209" t="s">
        <v>68</v>
      </c>
      <c r="F209" t="s">
        <v>40</v>
      </c>
      <c r="G209" t="s">
        <v>139</v>
      </c>
      <c r="H209" t="s">
        <v>11</v>
      </c>
      <c r="I209">
        <v>45.43</v>
      </c>
      <c r="K209" t="s">
        <v>368</v>
      </c>
      <c r="L209" s="2" t="s">
        <v>402</v>
      </c>
    </row>
    <row r="210" spans="1:12" x14ac:dyDescent="0.25">
      <c r="A210" t="s">
        <v>164</v>
      </c>
      <c r="B210" t="s">
        <v>165</v>
      </c>
      <c r="C210" t="s">
        <v>166</v>
      </c>
      <c r="D210">
        <v>9208040626087</v>
      </c>
      <c r="E210" t="s">
        <v>68</v>
      </c>
      <c r="F210" t="s">
        <v>4</v>
      </c>
      <c r="G210" t="s">
        <v>139</v>
      </c>
      <c r="H210" t="s">
        <v>11</v>
      </c>
      <c r="I210">
        <v>45.43</v>
      </c>
      <c r="K210" t="s">
        <v>368</v>
      </c>
      <c r="L210" s="2" t="s">
        <v>402</v>
      </c>
    </row>
    <row r="211" spans="1:12" x14ac:dyDescent="0.25">
      <c r="A211" t="s">
        <v>354</v>
      </c>
      <c r="B211" t="s">
        <v>355</v>
      </c>
      <c r="C211" t="s">
        <v>356</v>
      </c>
      <c r="D211">
        <v>9605025052082</v>
      </c>
      <c r="E211" t="s">
        <v>3</v>
      </c>
      <c r="F211" t="s">
        <v>4</v>
      </c>
      <c r="G211" t="s">
        <v>139</v>
      </c>
      <c r="H211" t="s">
        <v>70</v>
      </c>
      <c r="I211">
        <v>45.43</v>
      </c>
      <c r="K211" t="s">
        <v>368</v>
      </c>
      <c r="L211" s="2" t="s">
        <v>402</v>
      </c>
    </row>
    <row r="212" spans="1:12" x14ac:dyDescent="0.25">
      <c r="A212" t="s">
        <v>360</v>
      </c>
      <c r="B212" t="s">
        <v>361</v>
      </c>
      <c r="C212" t="s">
        <v>362</v>
      </c>
      <c r="D212">
        <v>9006215384080</v>
      </c>
      <c r="E212" t="s">
        <v>3</v>
      </c>
      <c r="F212" t="s">
        <v>4</v>
      </c>
      <c r="G212" t="s">
        <v>139</v>
      </c>
      <c r="H212" t="s">
        <v>70</v>
      </c>
      <c r="I212">
        <v>45.43</v>
      </c>
      <c r="K212" t="s">
        <v>368</v>
      </c>
      <c r="L212" s="2" t="s">
        <v>402</v>
      </c>
    </row>
    <row r="213" spans="1:12" x14ac:dyDescent="0.25">
      <c r="A213" t="s">
        <v>209</v>
      </c>
      <c r="B213" t="s">
        <v>210</v>
      </c>
      <c r="C213" t="s">
        <v>211</v>
      </c>
      <c r="D213">
        <v>7910195219087</v>
      </c>
      <c r="E213" t="s">
        <v>3</v>
      </c>
      <c r="F213" t="s">
        <v>4</v>
      </c>
      <c r="G213" t="s">
        <v>10</v>
      </c>
      <c r="H213" t="s">
        <v>70</v>
      </c>
      <c r="I213">
        <v>75.930000000000007</v>
      </c>
    </row>
    <row r="215" spans="1:12" x14ac:dyDescent="0.25">
      <c r="B215" t="s">
        <v>386</v>
      </c>
    </row>
    <row r="216" spans="1:12" x14ac:dyDescent="0.25">
      <c r="D216" t="s">
        <v>377</v>
      </c>
      <c r="I216">
        <v>45.43</v>
      </c>
    </row>
    <row r="217" spans="1:12" x14ac:dyDescent="0.25">
      <c r="D217" t="s">
        <v>377</v>
      </c>
      <c r="I217">
        <v>45.43</v>
      </c>
    </row>
    <row r="218" spans="1:12" x14ac:dyDescent="0.25">
      <c r="D218" t="s">
        <v>377</v>
      </c>
      <c r="I218">
        <v>45.43</v>
      </c>
    </row>
    <row r="219" spans="1:12" x14ac:dyDescent="0.25">
      <c r="D219" t="s">
        <v>377</v>
      </c>
      <c r="I219">
        <v>45.43</v>
      </c>
    </row>
    <row r="224" spans="1:12" x14ac:dyDescent="0.25">
      <c r="A224" t="s">
        <v>50</v>
      </c>
      <c r="B224" t="s">
        <v>51</v>
      </c>
      <c r="C224" t="s">
        <v>52</v>
      </c>
      <c r="D224">
        <v>7509285548080</v>
      </c>
      <c r="E224" t="s">
        <v>3</v>
      </c>
      <c r="F224" t="s">
        <v>40</v>
      </c>
      <c r="G224" t="s">
        <v>53</v>
      </c>
      <c r="H224" t="s">
        <v>20</v>
      </c>
      <c r="I224">
        <v>51.98</v>
      </c>
      <c r="L224" s="7" t="s">
        <v>397</v>
      </c>
    </row>
    <row r="225" spans="1:12" x14ac:dyDescent="0.25">
      <c r="A225" t="s">
        <v>59</v>
      </c>
      <c r="B225" t="s">
        <v>60</v>
      </c>
      <c r="C225" t="s">
        <v>61</v>
      </c>
      <c r="D225">
        <v>8309305177088</v>
      </c>
      <c r="E225" t="s">
        <v>3</v>
      </c>
      <c r="F225" t="s">
        <v>4</v>
      </c>
      <c r="G225" t="s">
        <v>53</v>
      </c>
      <c r="H225" t="s">
        <v>20</v>
      </c>
      <c r="I225">
        <v>51.98</v>
      </c>
      <c r="L225" s="7" t="s">
        <v>397</v>
      </c>
    </row>
    <row r="226" spans="1:12" x14ac:dyDescent="0.25">
      <c r="A226" t="s">
        <v>120</v>
      </c>
      <c r="B226" t="s">
        <v>121</v>
      </c>
      <c r="C226" t="s">
        <v>64</v>
      </c>
      <c r="D226">
        <v>7305185227085</v>
      </c>
      <c r="E226" t="s">
        <v>3</v>
      </c>
      <c r="F226" t="s">
        <v>4</v>
      </c>
      <c r="G226" t="s">
        <v>53</v>
      </c>
      <c r="H226" t="s">
        <v>20</v>
      </c>
      <c r="I226">
        <v>51.98</v>
      </c>
      <c r="L226" s="7" t="s">
        <v>397</v>
      </c>
    </row>
    <row r="227" spans="1:12" x14ac:dyDescent="0.25">
      <c r="A227" t="s">
        <v>124</v>
      </c>
      <c r="B227" t="s">
        <v>125</v>
      </c>
      <c r="C227" t="s">
        <v>126</v>
      </c>
      <c r="D227">
        <v>9107110752080</v>
      </c>
      <c r="E227" t="s">
        <v>68</v>
      </c>
      <c r="F227" t="s">
        <v>4</v>
      </c>
      <c r="G227" t="s">
        <v>53</v>
      </c>
      <c r="H227" t="s">
        <v>20</v>
      </c>
      <c r="I227">
        <v>51.98</v>
      </c>
      <c r="L227" s="7" t="s">
        <v>397</v>
      </c>
    </row>
    <row r="228" spans="1:12" x14ac:dyDescent="0.25">
      <c r="A228" t="s">
        <v>220</v>
      </c>
      <c r="B228" t="s">
        <v>221</v>
      </c>
      <c r="C228" t="s">
        <v>222</v>
      </c>
      <c r="D228">
        <v>9303190066083</v>
      </c>
      <c r="E228" t="s">
        <v>68</v>
      </c>
      <c r="F228" t="s">
        <v>4</v>
      </c>
      <c r="G228" t="s">
        <v>53</v>
      </c>
      <c r="H228" t="s">
        <v>20</v>
      </c>
      <c r="I228">
        <v>51.98</v>
      </c>
      <c r="L228" s="7" t="s">
        <v>397</v>
      </c>
    </row>
    <row r="229" spans="1:12" x14ac:dyDescent="0.25">
      <c r="A229" t="s">
        <v>256</v>
      </c>
      <c r="B229" t="s">
        <v>257</v>
      </c>
      <c r="C229" t="s">
        <v>258</v>
      </c>
      <c r="D229">
        <v>7108086439084</v>
      </c>
      <c r="E229" t="s">
        <v>3</v>
      </c>
      <c r="F229" t="s">
        <v>40</v>
      </c>
      <c r="G229" t="s">
        <v>259</v>
      </c>
      <c r="H229" t="s">
        <v>20</v>
      </c>
      <c r="I229">
        <v>58.58</v>
      </c>
      <c r="L229" s="7" t="s">
        <v>397</v>
      </c>
    </row>
    <row r="230" spans="1:12" x14ac:dyDescent="0.25">
      <c r="A230" t="s">
        <v>17</v>
      </c>
      <c r="B230" t="s">
        <v>18</v>
      </c>
      <c r="C230" t="s">
        <v>19</v>
      </c>
      <c r="D230">
        <v>8302185328087</v>
      </c>
      <c r="E230" t="s">
        <v>3</v>
      </c>
      <c r="F230" t="s">
        <v>4</v>
      </c>
      <c r="G230" t="s">
        <v>53</v>
      </c>
      <c r="H230" t="s">
        <v>20</v>
      </c>
      <c r="I230">
        <v>51.98</v>
      </c>
      <c r="L230" s="7" t="s">
        <v>397</v>
      </c>
    </row>
    <row r="232" spans="1:12" x14ac:dyDescent="0.25">
      <c r="A232" t="s">
        <v>247</v>
      </c>
      <c r="B232" t="s">
        <v>248</v>
      </c>
      <c r="C232" t="s">
        <v>249</v>
      </c>
      <c r="D232">
        <v>6103200144083</v>
      </c>
      <c r="E232" t="s">
        <v>68</v>
      </c>
      <c r="F232" t="s">
        <v>4</v>
      </c>
      <c r="G232" t="s">
        <v>150</v>
      </c>
      <c r="H232" t="s">
        <v>231</v>
      </c>
      <c r="I232">
        <v>45.43</v>
      </c>
    </row>
    <row r="233" spans="1:12" x14ac:dyDescent="0.25">
      <c r="A233" t="s">
        <v>232</v>
      </c>
      <c r="B233" t="s">
        <v>233</v>
      </c>
      <c r="C233" t="s">
        <v>234</v>
      </c>
      <c r="D233">
        <v>6102120515083</v>
      </c>
      <c r="E233" t="s">
        <v>68</v>
      </c>
      <c r="F233" t="s">
        <v>40</v>
      </c>
      <c r="G233" t="s">
        <v>5</v>
      </c>
      <c r="H233" t="s">
        <v>231</v>
      </c>
      <c r="I233">
        <v>51.31</v>
      </c>
    </row>
    <row r="234" spans="1:12" x14ac:dyDescent="0.25">
      <c r="A234" t="s">
        <v>235</v>
      </c>
      <c r="B234" t="s">
        <v>236</v>
      </c>
      <c r="C234" t="s">
        <v>237</v>
      </c>
      <c r="D234">
        <v>8312175698084</v>
      </c>
      <c r="E234" t="s">
        <v>3</v>
      </c>
      <c r="F234" t="s">
        <v>40</v>
      </c>
      <c r="G234" t="s">
        <v>5</v>
      </c>
      <c r="H234" t="s">
        <v>231</v>
      </c>
      <c r="I234">
        <v>49.67</v>
      </c>
    </row>
    <row r="235" spans="1:12" x14ac:dyDescent="0.25">
      <c r="A235" t="s">
        <v>241</v>
      </c>
      <c r="B235" t="s">
        <v>242</v>
      </c>
      <c r="C235" t="s">
        <v>243</v>
      </c>
      <c r="D235">
        <v>8605195873086</v>
      </c>
      <c r="E235" t="s">
        <v>3</v>
      </c>
      <c r="F235" t="s">
        <v>40</v>
      </c>
      <c r="G235" t="s">
        <v>5</v>
      </c>
      <c r="H235" t="s">
        <v>231</v>
      </c>
      <c r="I235">
        <v>51.98</v>
      </c>
    </row>
    <row r="236" spans="1:12" x14ac:dyDescent="0.25">
      <c r="A236" t="s">
        <v>244</v>
      </c>
      <c r="B236" t="s">
        <v>245</v>
      </c>
      <c r="C236" t="s">
        <v>246</v>
      </c>
      <c r="D236">
        <v>5909045768089</v>
      </c>
      <c r="E236" t="s">
        <v>3</v>
      </c>
      <c r="F236" t="s">
        <v>40</v>
      </c>
      <c r="G236" t="s">
        <v>36</v>
      </c>
      <c r="H236" t="s">
        <v>231</v>
      </c>
      <c r="I236">
        <v>49.67</v>
      </c>
    </row>
    <row r="237" spans="1:12" x14ac:dyDescent="0.25">
      <c r="A237" t="s">
        <v>238</v>
      </c>
      <c r="B237" t="s">
        <v>239</v>
      </c>
      <c r="C237" t="s">
        <v>240</v>
      </c>
      <c r="D237">
        <v>8404105943084</v>
      </c>
      <c r="E237" t="s">
        <v>3</v>
      </c>
      <c r="F237" t="s">
        <v>40</v>
      </c>
      <c r="G237" t="s">
        <v>57</v>
      </c>
      <c r="H237" t="s">
        <v>231</v>
      </c>
      <c r="I237">
        <v>64.849999999999994</v>
      </c>
    </row>
    <row r="238" spans="1:12" x14ac:dyDescent="0.25">
      <c r="A238" t="s">
        <v>228</v>
      </c>
      <c r="B238" t="s">
        <v>229</v>
      </c>
      <c r="C238" t="s">
        <v>230</v>
      </c>
      <c r="D238">
        <v>6005245900082</v>
      </c>
      <c r="E238" t="s">
        <v>3</v>
      </c>
      <c r="F238" t="s">
        <v>40</v>
      </c>
      <c r="G238" t="s">
        <v>10</v>
      </c>
      <c r="H238" t="s">
        <v>231</v>
      </c>
      <c r="I238">
        <v>62.04</v>
      </c>
    </row>
    <row r="240" spans="1:12" x14ac:dyDescent="0.25">
      <c r="A240" t="s">
        <v>308</v>
      </c>
      <c r="B240" t="s">
        <v>309</v>
      </c>
      <c r="C240" t="s">
        <v>310</v>
      </c>
      <c r="D240">
        <v>8212155075081</v>
      </c>
      <c r="E240" t="s">
        <v>3</v>
      </c>
      <c r="F240" t="s">
        <v>4</v>
      </c>
      <c r="G240" t="s">
        <v>311</v>
      </c>
      <c r="H240" t="s">
        <v>182</v>
      </c>
      <c r="I240">
        <v>54.33</v>
      </c>
      <c r="L240" t="s">
        <v>182</v>
      </c>
    </row>
    <row r="241" spans="1:12" x14ac:dyDescent="0.25">
      <c r="A241" t="s">
        <v>179</v>
      </c>
      <c r="B241" t="s">
        <v>180</v>
      </c>
      <c r="C241" t="s">
        <v>149</v>
      </c>
      <c r="D241">
        <v>8906170244081</v>
      </c>
      <c r="E241" t="s">
        <v>68</v>
      </c>
      <c r="F241" t="s">
        <v>4</v>
      </c>
      <c r="G241" t="s">
        <v>181</v>
      </c>
      <c r="H241" t="s">
        <v>182</v>
      </c>
      <c r="I241">
        <v>51.98</v>
      </c>
      <c r="L241" t="s">
        <v>182</v>
      </c>
    </row>
    <row r="242" spans="1:12" x14ac:dyDescent="0.25">
      <c r="A242" t="s">
        <v>183</v>
      </c>
      <c r="B242" t="s">
        <v>184</v>
      </c>
      <c r="C242" t="s">
        <v>185</v>
      </c>
      <c r="D242">
        <v>6708275750083</v>
      </c>
      <c r="E242" t="s">
        <v>3</v>
      </c>
      <c r="F242" t="s">
        <v>4</v>
      </c>
      <c r="G242" t="s">
        <v>181</v>
      </c>
      <c r="H242" t="s">
        <v>182</v>
      </c>
      <c r="I242">
        <v>58.58</v>
      </c>
      <c r="L242" t="s">
        <v>182</v>
      </c>
    </row>
    <row r="243" spans="1:12" x14ac:dyDescent="0.25">
      <c r="A243" t="s">
        <v>186</v>
      </c>
      <c r="B243" t="s">
        <v>187</v>
      </c>
      <c r="C243" t="s">
        <v>188</v>
      </c>
      <c r="D243">
        <v>7507165081081</v>
      </c>
      <c r="E243" t="s">
        <v>3</v>
      </c>
      <c r="F243" t="s">
        <v>4</v>
      </c>
      <c r="G243" t="s">
        <v>181</v>
      </c>
      <c r="H243" t="s">
        <v>182</v>
      </c>
      <c r="I243">
        <v>59.95</v>
      </c>
      <c r="L243" t="s">
        <v>182</v>
      </c>
    </row>
    <row r="245" spans="1:12" x14ac:dyDescent="0.25">
      <c r="A245" t="s">
        <v>216</v>
      </c>
      <c r="B245" t="s">
        <v>13</v>
      </c>
      <c r="C245" t="s">
        <v>217</v>
      </c>
      <c r="D245">
        <v>8211055168087</v>
      </c>
      <c r="E245" t="s">
        <v>3</v>
      </c>
      <c r="F245" t="s">
        <v>4</v>
      </c>
      <c r="G245" t="s">
        <v>218</v>
      </c>
      <c r="H245" t="s">
        <v>219</v>
      </c>
      <c r="I245">
        <v>67.89</v>
      </c>
    </row>
    <row r="247" spans="1:12" x14ac:dyDescent="0.25">
      <c r="A247" t="s">
        <v>54</v>
      </c>
      <c r="B247" t="s">
        <v>55</v>
      </c>
      <c r="C247" t="s">
        <v>56</v>
      </c>
      <c r="D247">
        <v>8010195185088</v>
      </c>
      <c r="E247" t="s">
        <v>3</v>
      </c>
      <c r="F247" t="s">
        <v>4</v>
      </c>
      <c r="G247" t="s">
        <v>57</v>
      </c>
      <c r="H247" t="s">
        <v>58</v>
      </c>
      <c r="I247">
        <v>54.33</v>
      </c>
      <c r="L247" t="s">
        <v>58</v>
      </c>
    </row>
    <row r="248" spans="1:12" x14ac:dyDescent="0.25">
      <c r="A248" t="s">
        <v>176</v>
      </c>
      <c r="B248" t="s">
        <v>177</v>
      </c>
      <c r="C248" t="s">
        <v>178</v>
      </c>
      <c r="D248">
        <v>8509205221080</v>
      </c>
      <c r="E248" t="s">
        <v>3</v>
      </c>
      <c r="F248" t="s">
        <v>4</v>
      </c>
      <c r="G248" t="s">
        <v>57</v>
      </c>
      <c r="H248" t="s">
        <v>58</v>
      </c>
      <c r="I248">
        <v>54.33</v>
      </c>
      <c r="L248" t="s">
        <v>58</v>
      </c>
    </row>
    <row r="249" spans="1:12" x14ac:dyDescent="0.25">
      <c r="A249" t="s">
        <v>90</v>
      </c>
      <c r="B249" t="s">
        <v>91</v>
      </c>
      <c r="C249" t="s">
        <v>92</v>
      </c>
      <c r="D249">
        <v>7603185261082</v>
      </c>
      <c r="E249" t="s">
        <v>3</v>
      </c>
      <c r="F249" t="s">
        <v>4</v>
      </c>
      <c r="G249" t="s">
        <v>93</v>
      </c>
      <c r="H249" t="s">
        <v>58</v>
      </c>
      <c r="I249">
        <v>43.59</v>
      </c>
      <c r="L249" t="s">
        <v>58</v>
      </c>
    </row>
    <row r="250" spans="1:12" x14ac:dyDescent="0.25">
      <c r="A250" t="s">
        <v>315</v>
      </c>
      <c r="B250" t="s">
        <v>316</v>
      </c>
      <c r="C250" t="s">
        <v>317</v>
      </c>
      <c r="D250">
        <v>8910235096080</v>
      </c>
      <c r="E250" t="s">
        <v>3</v>
      </c>
      <c r="F250" t="s">
        <v>4</v>
      </c>
      <c r="G250" t="s">
        <v>93</v>
      </c>
      <c r="H250" t="s">
        <v>58</v>
      </c>
      <c r="I250">
        <v>49.67</v>
      </c>
      <c r="L250" t="s">
        <v>58</v>
      </c>
    </row>
    <row r="251" spans="1:12" x14ac:dyDescent="0.25">
      <c r="A251" t="s">
        <v>321</v>
      </c>
      <c r="B251" t="s">
        <v>261</v>
      </c>
      <c r="C251" t="s">
        <v>322</v>
      </c>
      <c r="D251">
        <v>7412265059089</v>
      </c>
      <c r="E251" t="s">
        <v>3</v>
      </c>
      <c r="F251" t="s">
        <v>4</v>
      </c>
      <c r="G251" t="s">
        <v>93</v>
      </c>
      <c r="H251" t="s">
        <v>58</v>
      </c>
      <c r="I251">
        <v>43.59</v>
      </c>
      <c r="L251" t="s">
        <v>58</v>
      </c>
    </row>
    <row r="252" spans="1:12" x14ac:dyDescent="0.25">
      <c r="A252" t="s">
        <v>269</v>
      </c>
      <c r="B252" t="s">
        <v>270</v>
      </c>
      <c r="C252" t="s">
        <v>271</v>
      </c>
      <c r="D252">
        <v>9202205243085</v>
      </c>
      <c r="E252" t="s">
        <v>3</v>
      </c>
      <c r="F252" t="s">
        <v>4</v>
      </c>
      <c r="G252" t="s">
        <v>146</v>
      </c>
      <c r="H252" t="s">
        <v>58</v>
      </c>
      <c r="I252">
        <v>43.59</v>
      </c>
      <c r="L252" t="s">
        <v>58</v>
      </c>
    </row>
    <row r="253" spans="1:12" x14ac:dyDescent="0.25">
      <c r="A253" t="s">
        <v>326</v>
      </c>
      <c r="B253" t="s">
        <v>327</v>
      </c>
      <c r="C253" t="s">
        <v>328</v>
      </c>
      <c r="D253">
        <v>9006155185083</v>
      </c>
      <c r="E253" t="s">
        <v>3</v>
      </c>
      <c r="F253" t="s">
        <v>4</v>
      </c>
      <c r="G253" t="s">
        <v>93</v>
      </c>
      <c r="H253" t="s">
        <v>58</v>
      </c>
      <c r="I253">
        <v>43.59</v>
      </c>
      <c r="L253" t="s">
        <v>58</v>
      </c>
    </row>
    <row r="254" spans="1:12" x14ac:dyDescent="0.25">
      <c r="A254" t="s">
        <v>340</v>
      </c>
      <c r="B254" t="s">
        <v>81</v>
      </c>
      <c r="C254" t="s">
        <v>341</v>
      </c>
      <c r="D254">
        <v>9212240188088</v>
      </c>
      <c r="E254" t="s">
        <v>68</v>
      </c>
      <c r="F254" t="s">
        <v>4</v>
      </c>
      <c r="G254" t="s">
        <v>93</v>
      </c>
      <c r="H254" t="s">
        <v>58</v>
      </c>
      <c r="I254">
        <v>43.59</v>
      </c>
      <c r="L254" t="s">
        <v>58</v>
      </c>
    </row>
    <row r="255" spans="1:12" x14ac:dyDescent="0.25">
      <c r="A255" t="s">
        <v>344</v>
      </c>
      <c r="B255" t="s">
        <v>345</v>
      </c>
      <c r="C255" t="s">
        <v>346</v>
      </c>
      <c r="D255">
        <v>9601045110083</v>
      </c>
      <c r="E255" t="s">
        <v>3</v>
      </c>
      <c r="F255" t="s">
        <v>4</v>
      </c>
      <c r="G255" t="s">
        <v>93</v>
      </c>
      <c r="H255" t="s">
        <v>58</v>
      </c>
      <c r="I255">
        <v>43.59</v>
      </c>
      <c r="L255" t="s">
        <v>58</v>
      </c>
    </row>
    <row r="256" spans="1:12" x14ac:dyDescent="0.25">
      <c r="A256" t="s">
        <v>250</v>
      </c>
      <c r="B256" t="s">
        <v>251</v>
      </c>
      <c r="C256" t="s">
        <v>252</v>
      </c>
      <c r="D256">
        <v>8609205398084</v>
      </c>
      <c r="E256" t="s">
        <v>3</v>
      </c>
      <c r="F256" t="s">
        <v>40</v>
      </c>
      <c r="G256" t="s">
        <v>10</v>
      </c>
      <c r="H256" t="s">
        <v>58</v>
      </c>
      <c r="I256">
        <v>74.55</v>
      </c>
      <c r="L256" t="s">
        <v>58</v>
      </c>
    </row>
    <row r="258" spans="1:12" x14ac:dyDescent="0.25">
      <c r="C258" t="s">
        <v>377</v>
      </c>
      <c r="I258">
        <v>43.59</v>
      </c>
    </row>
    <row r="259" spans="1:12" x14ac:dyDescent="0.25">
      <c r="C259" t="s">
        <v>377</v>
      </c>
      <c r="I259">
        <v>43.59</v>
      </c>
    </row>
    <row r="260" spans="1:12" x14ac:dyDescent="0.25">
      <c r="C260" t="s">
        <v>377</v>
      </c>
      <c r="I260">
        <v>43.59</v>
      </c>
    </row>
    <row r="262" spans="1:12" x14ac:dyDescent="0.25">
      <c r="A262" t="s">
        <v>399</v>
      </c>
    </row>
    <row r="263" spans="1:12" x14ac:dyDescent="0.25">
      <c r="C263" t="s">
        <v>377</v>
      </c>
      <c r="I263">
        <v>43.59</v>
      </c>
    </row>
    <row r="264" spans="1:12" x14ac:dyDescent="0.25">
      <c r="C264" t="s">
        <v>377</v>
      </c>
      <c r="I264">
        <v>43.59</v>
      </c>
    </row>
    <row r="265" spans="1:12" x14ac:dyDescent="0.25">
      <c r="C265" t="s">
        <v>377</v>
      </c>
      <c r="I265">
        <v>43.59</v>
      </c>
    </row>
    <row r="270" spans="1:12" x14ac:dyDescent="0.25">
      <c r="A270" t="s">
        <v>62</v>
      </c>
      <c r="B270" t="s">
        <v>63</v>
      </c>
      <c r="C270" t="s">
        <v>64</v>
      </c>
      <c r="D270">
        <v>7609195134086</v>
      </c>
      <c r="E270" t="s">
        <v>3</v>
      </c>
      <c r="F270" t="s">
        <v>4</v>
      </c>
      <c r="G270" t="s">
        <v>57</v>
      </c>
      <c r="H270" t="s">
        <v>16</v>
      </c>
      <c r="I270">
        <v>59.77</v>
      </c>
      <c r="L270" t="s">
        <v>398</v>
      </c>
    </row>
    <row r="271" spans="1:12" x14ac:dyDescent="0.25">
      <c r="A271" t="s">
        <v>12</v>
      </c>
      <c r="B271" t="s">
        <v>13</v>
      </c>
      <c r="C271" t="s">
        <v>14</v>
      </c>
      <c r="D271">
        <v>8411245170080</v>
      </c>
      <c r="E271" t="s">
        <v>3</v>
      </c>
      <c r="F271" t="s">
        <v>4</v>
      </c>
      <c r="G271" t="s">
        <v>15</v>
      </c>
      <c r="H271" t="s">
        <v>16</v>
      </c>
      <c r="I271">
        <v>59.77</v>
      </c>
      <c r="L271" t="s">
        <v>398</v>
      </c>
    </row>
    <row r="272" spans="1:12" x14ac:dyDescent="0.25">
      <c r="A272" t="s">
        <v>140</v>
      </c>
      <c r="B272" t="s">
        <v>141</v>
      </c>
      <c r="C272" t="s">
        <v>142</v>
      </c>
      <c r="D272">
        <v>8504075263080</v>
      </c>
      <c r="E272" t="s">
        <v>3</v>
      </c>
      <c r="F272" t="s">
        <v>4</v>
      </c>
      <c r="G272" t="s">
        <v>15</v>
      </c>
      <c r="H272" t="s">
        <v>16</v>
      </c>
      <c r="I272">
        <v>59.77</v>
      </c>
      <c r="L272" t="s">
        <v>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1"/>
  <sheetViews>
    <sheetView workbookViewId="0">
      <selection activeCell="B18" sqref="B18"/>
    </sheetView>
  </sheetViews>
  <sheetFormatPr defaultRowHeight="15" x14ac:dyDescent="0.25"/>
  <cols>
    <col min="1" max="1" width="14.140625" bestFit="1" customWidth="1"/>
    <col min="2" max="2" width="32.85546875" bestFit="1" customWidth="1"/>
    <col min="3" max="3" width="16.28515625" bestFit="1" customWidth="1"/>
    <col min="4" max="4" width="15.140625" bestFit="1" customWidth="1"/>
    <col min="5" max="5" width="15.7109375" bestFit="1" customWidth="1"/>
    <col min="6" max="6" width="7.7109375" bestFit="1" customWidth="1"/>
    <col min="7" max="7" width="11.140625" bestFit="1" customWidth="1"/>
  </cols>
  <sheetData>
    <row r="1" spans="1:7" x14ac:dyDescent="0.25">
      <c r="A1" t="s">
        <v>857</v>
      </c>
      <c r="B1" t="s">
        <v>459</v>
      </c>
      <c r="C1" t="s">
        <v>858</v>
      </c>
      <c r="D1" t="s">
        <v>859</v>
      </c>
      <c r="E1" t="s">
        <v>860</v>
      </c>
      <c r="F1" t="s">
        <v>453</v>
      </c>
      <c r="G1" t="s">
        <v>1065</v>
      </c>
    </row>
    <row r="2" spans="1:7" x14ac:dyDescent="0.25">
      <c r="A2" t="s">
        <v>861</v>
      </c>
      <c r="B2" t="s">
        <v>862</v>
      </c>
      <c r="C2">
        <v>0</v>
      </c>
      <c r="D2">
        <v>0</v>
      </c>
      <c r="E2">
        <v>0</v>
      </c>
      <c r="F2">
        <f t="shared" ref="F2:F33" si="0">SUM(C2:E2)</f>
        <v>0</v>
      </c>
    </row>
    <row r="3" spans="1:7" x14ac:dyDescent="0.25">
      <c r="A3" t="s">
        <v>415</v>
      </c>
      <c r="B3" t="s">
        <v>862</v>
      </c>
      <c r="C3">
        <v>1.62</v>
      </c>
      <c r="D3">
        <v>3.48</v>
      </c>
      <c r="E3">
        <v>0.66</v>
      </c>
      <c r="F3">
        <f t="shared" si="0"/>
        <v>5.76</v>
      </c>
    </row>
    <row r="4" spans="1:7" x14ac:dyDescent="0.25">
      <c r="A4" t="s">
        <v>615</v>
      </c>
      <c r="B4" t="s">
        <v>863</v>
      </c>
      <c r="C4">
        <v>1.56</v>
      </c>
      <c r="D4">
        <v>0</v>
      </c>
      <c r="E4">
        <v>7.0000000000000007E-2</v>
      </c>
      <c r="F4">
        <f t="shared" si="0"/>
        <v>1.6300000000000001</v>
      </c>
    </row>
    <row r="5" spans="1:7" x14ac:dyDescent="0.25">
      <c r="A5" t="s">
        <v>864</v>
      </c>
      <c r="B5" t="s">
        <v>865</v>
      </c>
      <c r="C5">
        <v>0</v>
      </c>
      <c r="D5">
        <v>0</v>
      </c>
      <c r="E5">
        <v>0</v>
      </c>
      <c r="F5">
        <f t="shared" si="0"/>
        <v>0</v>
      </c>
    </row>
    <row r="6" spans="1:7" x14ac:dyDescent="0.25">
      <c r="A6" t="s">
        <v>416</v>
      </c>
      <c r="B6" t="s">
        <v>467</v>
      </c>
      <c r="C6">
        <v>3.58</v>
      </c>
      <c r="D6">
        <v>8.17</v>
      </c>
      <c r="E6">
        <v>3.9</v>
      </c>
      <c r="F6">
        <f t="shared" si="0"/>
        <v>15.65</v>
      </c>
    </row>
    <row r="7" spans="1:7" x14ac:dyDescent="0.25">
      <c r="A7" t="s">
        <v>866</v>
      </c>
      <c r="B7" t="s">
        <v>28</v>
      </c>
      <c r="C7">
        <v>0</v>
      </c>
      <c r="D7">
        <v>0</v>
      </c>
      <c r="E7">
        <v>0</v>
      </c>
      <c r="F7">
        <f t="shared" si="0"/>
        <v>0</v>
      </c>
    </row>
    <row r="8" spans="1:7" x14ac:dyDescent="0.25">
      <c r="A8" t="s">
        <v>867</v>
      </c>
      <c r="B8" t="s">
        <v>868</v>
      </c>
      <c r="C8">
        <v>0</v>
      </c>
      <c r="D8">
        <v>0</v>
      </c>
      <c r="E8">
        <v>0</v>
      </c>
      <c r="F8">
        <f t="shared" si="0"/>
        <v>0</v>
      </c>
    </row>
    <row r="9" spans="1:7" x14ac:dyDescent="0.25">
      <c r="A9" t="s">
        <v>869</v>
      </c>
      <c r="B9" t="s">
        <v>870</v>
      </c>
      <c r="C9">
        <v>0</v>
      </c>
      <c r="D9">
        <v>0</v>
      </c>
      <c r="E9">
        <v>0</v>
      </c>
      <c r="F9">
        <f t="shared" si="0"/>
        <v>0</v>
      </c>
    </row>
    <row r="10" spans="1:7" x14ac:dyDescent="0.25">
      <c r="A10" t="s">
        <v>871</v>
      </c>
      <c r="B10" t="s">
        <v>872</v>
      </c>
      <c r="C10">
        <v>0</v>
      </c>
      <c r="D10">
        <v>0</v>
      </c>
      <c r="E10">
        <v>0</v>
      </c>
      <c r="F10">
        <f t="shared" si="0"/>
        <v>0</v>
      </c>
    </row>
    <row r="11" spans="1:7" x14ac:dyDescent="0.25">
      <c r="A11" t="s">
        <v>410</v>
      </c>
      <c r="B11" t="s">
        <v>380</v>
      </c>
      <c r="C11">
        <v>3.51</v>
      </c>
      <c r="D11">
        <v>0.71</v>
      </c>
      <c r="E11">
        <v>0.12</v>
      </c>
      <c r="F11">
        <f t="shared" si="0"/>
        <v>4.34</v>
      </c>
    </row>
    <row r="12" spans="1:7" x14ac:dyDescent="0.25">
      <c r="A12" t="s">
        <v>426</v>
      </c>
      <c r="B12" t="s">
        <v>383</v>
      </c>
      <c r="C12">
        <v>3.5</v>
      </c>
      <c r="D12">
        <v>0.99</v>
      </c>
      <c r="E12">
        <v>0.13</v>
      </c>
      <c r="F12">
        <f t="shared" si="0"/>
        <v>4.62</v>
      </c>
    </row>
    <row r="13" spans="1:7" x14ac:dyDescent="0.25">
      <c r="A13" t="s">
        <v>427</v>
      </c>
      <c r="B13" t="s">
        <v>381</v>
      </c>
      <c r="C13">
        <v>3.42</v>
      </c>
      <c r="D13">
        <v>1.04</v>
      </c>
      <c r="E13">
        <v>0.15</v>
      </c>
      <c r="F13">
        <f t="shared" si="0"/>
        <v>4.6100000000000003</v>
      </c>
    </row>
    <row r="14" spans="1:7" x14ac:dyDescent="0.25">
      <c r="A14" t="s">
        <v>428</v>
      </c>
      <c r="B14" t="s">
        <v>382</v>
      </c>
      <c r="C14">
        <v>3.47</v>
      </c>
      <c r="D14">
        <v>1.01</v>
      </c>
      <c r="E14">
        <v>0.13</v>
      </c>
      <c r="F14">
        <f t="shared" si="0"/>
        <v>4.6100000000000003</v>
      </c>
    </row>
    <row r="15" spans="1:7" x14ac:dyDescent="0.25">
      <c r="A15" t="s">
        <v>429</v>
      </c>
      <c r="B15" t="s">
        <v>374</v>
      </c>
      <c r="C15">
        <v>3.42</v>
      </c>
      <c r="D15">
        <v>1.1599999999999999</v>
      </c>
      <c r="E15">
        <v>0.23</v>
      </c>
      <c r="F15">
        <f t="shared" si="0"/>
        <v>4.8100000000000005</v>
      </c>
    </row>
    <row r="16" spans="1:7" x14ac:dyDescent="0.25">
      <c r="A16" t="s">
        <v>418</v>
      </c>
      <c r="B16" t="s">
        <v>470</v>
      </c>
      <c r="C16">
        <v>2.4500000000000002</v>
      </c>
      <c r="D16">
        <v>0.89</v>
      </c>
      <c r="E16">
        <v>0.13</v>
      </c>
      <c r="F16">
        <f t="shared" si="0"/>
        <v>3.47</v>
      </c>
    </row>
    <row r="17" spans="1:7" x14ac:dyDescent="0.25">
      <c r="A17" t="s">
        <v>1420</v>
      </c>
      <c r="B17" t="s">
        <v>1421</v>
      </c>
      <c r="C17">
        <v>0</v>
      </c>
      <c r="D17">
        <v>0</v>
      </c>
      <c r="E17">
        <v>0</v>
      </c>
      <c r="F17">
        <f t="shared" si="0"/>
        <v>0</v>
      </c>
    </row>
    <row r="18" spans="1:7" x14ac:dyDescent="0.25">
      <c r="A18" t="s">
        <v>1550</v>
      </c>
      <c r="B18" t="s">
        <v>1551</v>
      </c>
      <c r="C18">
        <v>0</v>
      </c>
      <c r="D18">
        <v>0</v>
      </c>
      <c r="E18">
        <v>0</v>
      </c>
      <c r="F18">
        <f t="shared" si="0"/>
        <v>0</v>
      </c>
    </row>
    <row r="19" spans="1:7" x14ac:dyDescent="0.25">
      <c r="A19" t="s">
        <v>1013</v>
      </c>
      <c r="B19" t="s">
        <v>1014</v>
      </c>
      <c r="C19">
        <v>0</v>
      </c>
      <c r="D19">
        <v>0</v>
      </c>
      <c r="E19">
        <v>0</v>
      </c>
      <c r="F19">
        <f t="shared" si="0"/>
        <v>0</v>
      </c>
    </row>
    <row r="20" spans="1:7" x14ac:dyDescent="0.25">
      <c r="A20" t="s">
        <v>873</v>
      </c>
      <c r="B20" t="s">
        <v>874</v>
      </c>
      <c r="C20">
        <v>0</v>
      </c>
      <c r="D20">
        <v>0</v>
      </c>
      <c r="E20">
        <v>0</v>
      </c>
      <c r="F20">
        <f t="shared" si="0"/>
        <v>0</v>
      </c>
    </row>
    <row r="21" spans="1:7" x14ac:dyDescent="0.25">
      <c r="A21" t="s">
        <v>875</v>
      </c>
      <c r="B21" t="s">
        <v>876</v>
      </c>
      <c r="C21">
        <v>0</v>
      </c>
      <c r="D21">
        <v>0</v>
      </c>
      <c r="E21">
        <v>0</v>
      </c>
      <c r="F21">
        <f t="shared" si="0"/>
        <v>0</v>
      </c>
    </row>
    <row r="22" spans="1:7" x14ac:dyDescent="0.25">
      <c r="A22" t="s">
        <v>420</v>
      </c>
      <c r="B22" t="s">
        <v>370</v>
      </c>
      <c r="C22">
        <v>3.69</v>
      </c>
      <c r="D22">
        <v>0.76</v>
      </c>
      <c r="E22">
        <v>0.21</v>
      </c>
      <c r="F22">
        <f t="shared" si="0"/>
        <v>4.66</v>
      </c>
    </row>
    <row r="23" spans="1:7" x14ac:dyDescent="0.25">
      <c r="A23" t="s">
        <v>421</v>
      </c>
      <c r="B23" t="s">
        <v>371</v>
      </c>
      <c r="C23">
        <v>3.73</v>
      </c>
      <c r="D23">
        <v>0.83</v>
      </c>
      <c r="E23">
        <v>0.2</v>
      </c>
      <c r="F23">
        <f t="shared" si="0"/>
        <v>4.76</v>
      </c>
    </row>
    <row r="24" spans="1:7" x14ac:dyDescent="0.25">
      <c r="A24" t="s">
        <v>408</v>
      </c>
      <c r="B24" t="s">
        <v>372</v>
      </c>
      <c r="C24">
        <v>3.66</v>
      </c>
      <c r="D24">
        <v>0.6</v>
      </c>
      <c r="E24">
        <v>0.19</v>
      </c>
      <c r="F24">
        <f t="shared" si="0"/>
        <v>4.45</v>
      </c>
    </row>
    <row r="25" spans="1:7" x14ac:dyDescent="0.25">
      <c r="A25" t="s">
        <v>423</v>
      </c>
      <c r="B25" t="s">
        <v>376</v>
      </c>
      <c r="C25">
        <v>3.87</v>
      </c>
      <c r="D25">
        <v>0.95</v>
      </c>
      <c r="E25">
        <v>0.22</v>
      </c>
      <c r="F25">
        <f t="shared" si="0"/>
        <v>5.04</v>
      </c>
    </row>
    <row r="26" spans="1:7" x14ac:dyDescent="0.25">
      <c r="A26" t="s">
        <v>454</v>
      </c>
      <c r="B26" t="s">
        <v>375</v>
      </c>
      <c r="C26">
        <v>3.71</v>
      </c>
      <c r="D26">
        <v>1.38</v>
      </c>
      <c r="E26">
        <v>0.36</v>
      </c>
      <c r="F26">
        <f t="shared" si="0"/>
        <v>5.45</v>
      </c>
    </row>
    <row r="27" spans="1:7" x14ac:dyDescent="0.25">
      <c r="A27" t="s">
        <v>422</v>
      </c>
      <c r="B27" t="s">
        <v>373</v>
      </c>
      <c r="C27">
        <v>3.47</v>
      </c>
      <c r="D27">
        <v>1.1200000000000001</v>
      </c>
      <c r="E27">
        <v>0.28999999999999998</v>
      </c>
      <c r="F27">
        <f t="shared" si="0"/>
        <v>4.88</v>
      </c>
    </row>
    <row r="28" spans="1:7" x14ac:dyDescent="0.25">
      <c r="A28" t="s">
        <v>840</v>
      </c>
      <c r="B28" t="s">
        <v>374</v>
      </c>
      <c r="C28">
        <v>4.1500000000000004</v>
      </c>
      <c r="D28">
        <v>1.76</v>
      </c>
      <c r="E28">
        <v>0.27</v>
      </c>
      <c r="F28">
        <f t="shared" si="0"/>
        <v>6.18</v>
      </c>
      <c r="G28" t="s">
        <v>378</v>
      </c>
    </row>
    <row r="29" spans="1:7" x14ac:dyDescent="0.25">
      <c r="A29" t="s">
        <v>409</v>
      </c>
      <c r="B29" t="s">
        <v>417</v>
      </c>
      <c r="C29">
        <v>2.5</v>
      </c>
      <c r="D29">
        <v>0.68</v>
      </c>
      <c r="E29">
        <v>0.2</v>
      </c>
      <c r="F29">
        <f t="shared" si="0"/>
        <v>3.3800000000000003</v>
      </c>
      <c r="G29" t="s">
        <v>378</v>
      </c>
    </row>
    <row r="30" spans="1:7" x14ac:dyDescent="0.25">
      <c r="A30" t="s">
        <v>1565</v>
      </c>
      <c r="B30" t="s">
        <v>1566</v>
      </c>
      <c r="C30">
        <v>0</v>
      </c>
      <c r="D30">
        <v>0</v>
      </c>
      <c r="E30">
        <v>0</v>
      </c>
      <c r="F30">
        <f t="shared" si="0"/>
        <v>0</v>
      </c>
      <c r="G30" t="s">
        <v>378</v>
      </c>
    </row>
    <row r="31" spans="1:7" x14ac:dyDescent="0.25">
      <c r="A31" t="s">
        <v>424</v>
      </c>
      <c r="B31" t="s">
        <v>384</v>
      </c>
      <c r="C31">
        <v>3.59</v>
      </c>
      <c r="D31">
        <v>0.9</v>
      </c>
      <c r="E31">
        <v>0.27</v>
      </c>
      <c r="F31">
        <f t="shared" si="0"/>
        <v>4.76</v>
      </c>
      <c r="G31" t="s">
        <v>378</v>
      </c>
    </row>
    <row r="32" spans="1:7" x14ac:dyDescent="0.25">
      <c r="A32" t="s">
        <v>1032</v>
      </c>
      <c r="B32" t="s">
        <v>1053</v>
      </c>
      <c r="C32">
        <v>1.53</v>
      </c>
      <c r="D32">
        <v>1.23</v>
      </c>
      <c r="E32">
        <v>0.81</v>
      </c>
      <c r="F32">
        <f t="shared" si="0"/>
        <v>3.57</v>
      </c>
      <c r="G32" t="s">
        <v>378</v>
      </c>
    </row>
    <row r="33" spans="1:7" x14ac:dyDescent="0.25">
      <c r="A33" t="s">
        <v>1036</v>
      </c>
      <c r="B33" t="s">
        <v>1039</v>
      </c>
      <c r="C33">
        <v>1.53</v>
      </c>
      <c r="D33">
        <v>1.22</v>
      </c>
      <c r="E33">
        <v>0.78</v>
      </c>
      <c r="F33">
        <f t="shared" si="0"/>
        <v>3.5300000000000002</v>
      </c>
      <c r="G33" t="s">
        <v>378</v>
      </c>
    </row>
    <row r="34" spans="1:7" x14ac:dyDescent="0.25">
      <c r="A34" t="s">
        <v>1037</v>
      </c>
      <c r="B34" t="s">
        <v>1422</v>
      </c>
      <c r="C34">
        <v>1.53</v>
      </c>
      <c r="D34">
        <v>1.17</v>
      </c>
      <c r="E34">
        <v>0.76</v>
      </c>
      <c r="F34">
        <f t="shared" ref="F34:F65" si="1">SUM(C34:E34)</f>
        <v>3.46</v>
      </c>
    </row>
    <row r="35" spans="1:7" x14ac:dyDescent="0.25">
      <c r="A35" t="s">
        <v>1054</v>
      </c>
      <c r="B35" t="s">
        <v>1055</v>
      </c>
      <c r="C35">
        <v>1.53</v>
      </c>
      <c r="D35">
        <v>1.1299999999999999</v>
      </c>
      <c r="E35">
        <v>0.57999999999999996</v>
      </c>
      <c r="F35">
        <f t="shared" si="1"/>
        <v>3.24</v>
      </c>
    </row>
    <row r="36" spans="1:7" x14ac:dyDescent="0.25">
      <c r="A36" t="s">
        <v>1044</v>
      </c>
      <c r="B36" t="s">
        <v>1041</v>
      </c>
      <c r="C36">
        <v>2.72</v>
      </c>
      <c r="D36">
        <v>4.45</v>
      </c>
      <c r="E36">
        <v>1.83</v>
      </c>
      <c r="F36">
        <f t="shared" si="1"/>
        <v>9</v>
      </c>
    </row>
    <row r="37" spans="1:7" x14ac:dyDescent="0.25">
      <c r="A37" t="s">
        <v>877</v>
      </c>
      <c r="B37" t="s">
        <v>878</v>
      </c>
      <c r="C37">
        <v>0</v>
      </c>
      <c r="D37">
        <v>0</v>
      </c>
      <c r="E37">
        <v>0</v>
      </c>
      <c r="F37">
        <f t="shared" si="1"/>
        <v>0</v>
      </c>
    </row>
    <row r="38" spans="1:7" x14ac:dyDescent="0.25">
      <c r="A38" t="s">
        <v>879</v>
      </c>
      <c r="B38" t="s">
        <v>880</v>
      </c>
      <c r="C38">
        <v>0</v>
      </c>
      <c r="D38">
        <v>0</v>
      </c>
      <c r="E38">
        <v>0</v>
      </c>
      <c r="F38">
        <f t="shared" si="1"/>
        <v>0</v>
      </c>
    </row>
    <row r="39" spans="1:7" x14ac:dyDescent="0.25">
      <c r="A39" t="s">
        <v>431</v>
      </c>
      <c r="B39" t="s">
        <v>881</v>
      </c>
      <c r="C39">
        <v>4.08</v>
      </c>
      <c r="D39">
        <v>1.28</v>
      </c>
      <c r="E39">
        <v>0.78</v>
      </c>
      <c r="F39">
        <f t="shared" si="1"/>
        <v>6.1400000000000006</v>
      </c>
    </row>
    <row r="40" spans="1:7" x14ac:dyDescent="0.25">
      <c r="A40" t="s">
        <v>430</v>
      </c>
      <c r="B40" t="s">
        <v>882</v>
      </c>
      <c r="C40">
        <v>3.14</v>
      </c>
      <c r="D40">
        <v>0.86</v>
      </c>
      <c r="E40">
        <v>0.4</v>
      </c>
      <c r="F40">
        <f t="shared" si="1"/>
        <v>4.4000000000000004</v>
      </c>
    </row>
    <row r="41" spans="1:7" x14ac:dyDescent="0.25">
      <c r="A41" t="s">
        <v>436</v>
      </c>
      <c r="B41" t="s">
        <v>883</v>
      </c>
      <c r="C41">
        <v>2.78</v>
      </c>
      <c r="D41">
        <v>2.41</v>
      </c>
      <c r="E41">
        <v>0.53</v>
      </c>
      <c r="F41">
        <f t="shared" si="1"/>
        <v>5.72</v>
      </c>
    </row>
    <row r="42" spans="1:7" x14ac:dyDescent="0.25">
      <c r="A42" t="s">
        <v>460</v>
      </c>
      <c r="B42" t="s">
        <v>884</v>
      </c>
      <c r="C42">
        <v>2.78</v>
      </c>
      <c r="D42">
        <v>0.8</v>
      </c>
      <c r="E42">
        <v>0.35</v>
      </c>
      <c r="F42">
        <f t="shared" si="1"/>
        <v>3.93</v>
      </c>
    </row>
    <row r="43" spans="1:7" x14ac:dyDescent="0.25">
      <c r="A43" t="s">
        <v>432</v>
      </c>
      <c r="B43" t="s">
        <v>885</v>
      </c>
      <c r="C43">
        <v>2.29</v>
      </c>
      <c r="D43">
        <v>0.76</v>
      </c>
      <c r="E43">
        <v>0.34</v>
      </c>
      <c r="F43">
        <f t="shared" si="1"/>
        <v>3.3899999999999997</v>
      </c>
    </row>
    <row r="44" spans="1:7" x14ac:dyDescent="0.25">
      <c r="A44" t="s">
        <v>433</v>
      </c>
      <c r="B44" t="s">
        <v>886</v>
      </c>
      <c r="C44">
        <v>4.07</v>
      </c>
      <c r="D44">
        <v>1.94</v>
      </c>
      <c r="E44">
        <v>0.6</v>
      </c>
      <c r="F44">
        <f t="shared" si="1"/>
        <v>6.6099999999999994</v>
      </c>
    </row>
    <row r="45" spans="1:7" x14ac:dyDescent="0.25">
      <c r="A45" t="s">
        <v>435</v>
      </c>
      <c r="B45" t="s">
        <v>887</v>
      </c>
      <c r="C45">
        <v>3.92</v>
      </c>
      <c r="D45">
        <v>0.95</v>
      </c>
      <c r="E45">
        <v>0.34</v>
      </c>
      <c r="F45">
        <f t="shared" si="1"/>
        <v>5.21</v>
      </c>
    </row>
    <row r="46" spans="1:7" x14ac:dyDescent="0.25">
      <c r="A46" t="s">
        <v>449</v>
      </c>
      <c r="B46" t="s">
        <v>1056</v>
      </c>
      <c r="C46">
        <v>0</v>
      </c>
      <c r="D46">
        <v>0</v>
      </c>
      <c r="E46">
        <v>0</v>
      </c>
      <c r="F46">
        <f t="shared" si="1"/>
        <v>0</v>
      </c>
    </row>
    <row r="47" spans="1:7" x14ac:dyDescent="0.25">
      <c r="A47" t="s">
        <v>609</v>
      </c>
      <c r="B47" t="s">
        <v>888</v>
      </c>
      <c r="C47">
        <v>3.98</v>
      </c>
      <c r="D47">
        <v>1.47</v>
      </c>
      <c r="E47">
        <v>0.49</v>
      </c>
      <c r="F47">
        <f t="shared" si="1"/>
        <v>5.94</v>
      </c>
    </row>
    <row r="48" spans="1:7" x14ac:dyDescent="0.25">
      <c r="A48" t="s">
        <v>825</v>
      </c>
      <c r="B48" t="s">
        <v>937</v>
      </c>
      <c r="C48">
        <v>2.89</v>
      </c>
      <c r="D48">
        <v>0.83</v>
      </c>
      <c r="E48">
        <v>0.37</v>
      </c>
      <c r="F48">
        <f t="shared" si="1"/>
        <v>4.09</v>
      </c>
    </row>
    <row r="49" spans="1:7" x14ac:dyDescent="0.25">
      <c r="A49" t="s">
        <v>889</v>
      </c>
      <c r="B49" t="s">
        <v>890</v>
      </c>
      <c r="C49">
        <v>0</v>
      </c>
      <c r="D49">
        <v>0</v>
      </c>
      <c r="E49">
        <v>0</v>
      </c>
      <c r="F49">
        <f t="shared" si="1"/>
        <v>0</v>
      </c>
      <c r="G49" t="s">
        <v>378</v>
      </c>
    </row>
    <row r="50" spans="1:7" x14ac:dyDescent="0.25">
      <c r="A50" t="s">
        <v>891</v>
      </c>
      <c r="B50" t="s">
        <v>892</v>
      </c>
      <c r="C50">
        <v>0</v>
      </c>
      <c r="D50">
        <v>0</v>
      </c>
      <c r="E50">
        <v>0</v>
      </c>
      <c r="F50">
        <f t="shared" si="1"/>
        <v>0</v>
      </c>
      <c r="G50" t="s">
        <v>378</v>
      </c>
    </row>
    <row r="51" spans="1:7" x14ac:dyDescent="0.25">
      <c r="A51" t="s">
        <v>893</v>
      </c>
      <c r="B51" t="s">
        <v>894</v>
      </c>
      <c r="C51">
        <v>0</v>
      </c>
      <c r="D51">
        <v>0</v>
      </c>
      <c r="E51">
        <v>0</v>
      </c>
      <c r="F51">
        <f t="shared" si="1"/>
        <v>0</v>
      </c>
      <c r="G51" t="s">
        <v>378</v>
      </c>
    </row>
    <row r="52" spans="1:7" x14ac:dyDescent="0.25">
      <c r="A52" t="s">
        <v>441</v>
      </c>
      <c r="B52" t="s">
        <v>401</v>
      </c>
      <c r="C52">
        <v>4.42</v>
      </c>
      <c r="D52">
        <v>0.39</v>
      </c>
      <c r="E52">
        <v>0.21</v>
      </c>
      <c r="F52">
        <f t="shared" si="1"/>
        <v>5.0199999999999996</v>
      </c>
    </row>
    <row r="53" spans="1:7" x14ac:dyDescent="0.25">
      <c r="A53" t="s">
        <v>440</v>
      </c>
      <c r="B53" t="s">
        <v>402</v>
      </c>
      <c r="C53">
        <v>18.3</v>
      </c>
      <c r="D53">
        <v>7.45</v>
      </c>
      <c r="E53">
        <v>7.43</v>
      </c>
      <c r="F53">
        <f t="shared" si="1"/>
        <v>33.18</v>
      </c>
    </row>
    <row r="54" spans="1:7" x14ac:dyDescent="0.25">
      <c r="A54" t="s">
        <v>438</v>
      </c>
      <c r="B54" t="s">
        <v>400</v>
      </c>
      <c r="C54">
        <v>1.56</v>
      </c>
      <c r="D54">
        <v>0.2</v>
      </c>
      <c r="E54">
        <v>0.11</v>
      </c>
      <c r="F54">
        <f t="shared" si="1"/>
        <v>1.87</v>
      </c>
    </row>
    <row r="55" spans="1:7" x14ac:dyDescent="0.25">
      <c r="A55" t="s">
        <v>437</v>
      </c>
      <c r="B55" t="s">
        <v>1057</v>
      </c>
      <c r="C55">
        <v>0</v>
      </c>
      <c r="D55">
        <v>0</v>
      </c>
      <c r="E55">
        <v>0</v>
      </c>
      <c r="F55">
        <f t="shared" si="1"/>
        <v>0</v>
      </c>
    </row>
    <row r="56" spans="1:7" x14ac:dyDescent="0.25">
      <c r="A56" t="s">
        <v>895</v>
      </c>
      <c r="B56" t="s">
        <v>896</v>
      </c>
      <c r="C56">
        <v>0</v>
      </c>
      <c r="D56">
        <v>0</v>
      </c>
      <c r="E56">
        <v>0</v>
      </c>
      <c r="F56">
        <f t="shared" si="1"/>
        <v>0</v>
      </c>
    </row>
    <row r="57" spans="1:7" x14ac:dyDescent="0.25">
      <c r="A57" t="s">
        <v>897</v>
      </c>
      <c r="B57" t="s">
        <v>898</v>
      </c>
      <c r="C57">
        <v>0</v>
      </c>
      <c r="D57">
        <v>0</v>
      </c>
      <c r="E57">
        <v>0</v>
      </c>
      <c r="F57">
        <f t="shared" si="1"/>
        <v>0</v>
      </c>
    </row>
    <row r="58" spans="1:7" x14ac:dyDescent="0.25">
      <c r="A58" t="s">
        <v>899</v>
      </c>
      <c r="B58" t="s">
        <v>900</v>
      </c>
      <c r="C58">
        <v>0</v>
      </c>
      <c r="D58">
        <v>0</v>
      </c>
      <c r="E58">
        <v>0</v>
      </c>
      <c r="F58">
        <f t="shared" si="1"/>
        <v>0</v>
      </c>
    </row>
    <row r="59" spans="1:7" x14ac:dyDescent="0.25">
      <c r="A59" t="s">
        <v>901</v>
      </c>
      <c r="B59" t="s">
        <v>902</v>
      </c>
      <c r="C59">
        <v>0</v>
      </c>
      <c r="D59">
        <v>0</v>
      </c>
      <c r="E59">
        <v>0</v>
      </c>
      <c r="F59">
        <f t="shared" si="1"/>
        <v>0</v>
      </c>
    </row>
    <row r="60" spans="1:7" x14ac:dyDescent="0.25">
      <c r="A60" t="s">
        <v>903</v>
      </c>
      <c r="B60" t="s">
        <v>904</v>
      </c>
      <c r="C60">
        <v>0</v>
      </c>
      <c r="D60">
        <v>0</v>
      </c>
      <c r="E60">
        <v>0</v>
      </c>
      <c r="F60">
        <f t="shared" si="1"/>
        <v>0</v>
      </c>
    </row>
    <row r="61" spans="1:7" x14ac:dyDescent="0.25">
      <c r="A61" t="s">
        <v>905</v>
      </c>
      <c r="B61" t="s">
        <v>906</v>
      </c>
      <c r="C61">
        <v>0</v>
      </c>
      <c r="D61">
        <v>0</v>
      </c>
      <c r="E61">
        <v>0</v>
      </c>
      <c r="F61">
        <f t="shared" si="1"/>
        <v>0</v>
      </c>
    </row>
    <row r="62" spans="1:7" x14ac:dyDescent="0.25">
      <c r="A62" t="s">
        <v>907</v>
      </c>
      <c r="B62" t="s">
        <v>908</v>
      </c>
      <c r="C62">
        <v>0</v>
      </c>
      <c r="D62">
        <v>0</v>
      </c>
      <c r="E62">
        <v>0</v>
      </c>
      <c r="F62">
        <f t="shared" si="1"/>
        <v>0</v>
      </c>
    </row>
    <row r="63" spans="1:7" x14ac:dyDescent="0.25">
      <c r="A63" t="s">
        <v>909</v>
      </c>
      <c r="B63" t="s">
        <v>910</v>
      </c>
      <c r="C63">
        <v>0</v>
      </c>
      <c r="D63">
        <v>0</v>
      </c>
      <c r="E63">
        <v>0</v>
      </c>
      <c r="F63">
        <f t="shared" si="1"/>
        <v>0</v>
      </c>
    </row>
    <row r="64" spans="1:7" x14ac:dyDescent="0.25">
      <c r="A64" t="s">
        <v>442</v>
      </c>
      <c r="B64" t="s">
        <v>911</v>
      </c>
      <c r="C64">
        <v>1.89</v>
      </c>
      <c r="D64">
        <v>2.79</v>
      </c>
      <c r="E64">
        <v>1.1299999999999999</v>
      </c>
      <c r="F64">
        <f t="shared" si="1"/>
        <v>5.81</v>
      </c>
    </row>
    <row r="65" spans="1:7" x14ac:dyDescent="0.25">
      <c r="A65" t="s">
        <v>443</v>
      </c>
      <c r="B65" t="s">
        <v>912</v>
      </c>
      <c r="C65">
        <v>2.31</v>
      </c>
      <c r="D65">
        <v>2.64</v>
      </c>
      <c r="E65">
        <v>0.97</v>
      </c>
      <c r="F65">
        <f t="shared" si="1"/>
        <v>5.92</v>
      </c>
      <c r="G65" t="s">
        <v>378</v>
      </c>
    </row>
    <row r="66" spans="1:7" x14ac:dyDescent="0.25">
      <c r="A66" t="s">
        <v>444</v>
      </c>
      <c r="B66" t="s">
        <v>913</v>
      </c>
      <c r="C66">
        <v>2.31</v>
      </c>
      <c r="D66">
        <v>3.16</v>
      </c>
      <c r="E66">
        <v>1.5</v>
      </c>
      <c r="F66">
        <f t="shared" ref="F66:F91" si="2">SUM(C66:E66)</f>
        <v>6.9700000000000006</v>
      </c>
    </row>
    <row r="67" spans="1:7" x14ac:dyDescent="0.25">
      <c r="A67" t="s">
        <v>445</v>
      </c>
      <c r="B67" t="s">
        <v>914</v>
      </c>
      <c r="C67">
        <v>1.89</v>
      </c>
      <c r="D67">
        <v>2.7</v>
      </c>
      <c r="E67">
        <v>1.03</v>
      </c>
      <c r="F67">
        <f t="shared" si="2"/>
        <v>5.62</v>
      </c>
    </row>
    <row r="68" spans="1:7" x14ac:dyDescent="0.25">
      <c r="A68" t="s">
        <v>1091</v>
      </c>
      <c r="B68" t="s">
        <v>1092</v>
      </c>
      <c r="C68">
        <v>4.08</v>
      </c>
      <c r="D68">
        <v>1.28</v>
      </c>
      <c r="E68">
        <v>0.78</v>
      </c>
      <c r="F68">
        <f t="shared" si="2"/>
        <v>6.1400000000000006</v>
      </c>
    </row>
    <row r="69" spans="1:7" x14ac:dyDescent="0.25">
      <c r="A69" t="s">
        <v>1093</v>
      </c>
      <c r="B69" t="s">
        <v>1094</v>
      </c>
      <c r="C69">
        <v>3.14</v>
      </c>
      <c r="D69">
        <v>0.86</v>
      </c>
      <c r="E69">
        <v>0.4</v>
      </c>
      <c r="F69">
        <f t="shared" si="2"/>
        <v>4.4000000000000004</v>
      </c>
    </row>
    <row r="70" spans="1:7" x14ac:dyDescent="0.25">
      <c r="A70" t="s">
        <v>1095</v>
      </c>
      <c r="B70" t="s">
        <v>1096</v>
      </c>
      <c r="C70">
        <v>2.78</v>
      </c>
      <c r="D70">
        <v>2.41</v>
      </c>
      <c r="E70">
        <v>0.53</v>
      </c>
      <c r="F70">
        <f t="shared" si="2"/>
        <v>5.72</v>
      </c>
    </row>
    <row r="71" spans="1:7" x14ac:dyDescent="0.25">
      <c r="A71" t="s">
        <v>1097</v>
      </c>
      <c r="B71" t="s">
        <v>1098</v>
      </c>
      <c r="C71">
        <v>2.78</v>
      </c>
      <c r="D71">
        <v>0.8</v>
      </c>
      <c r="E71">
        <v>0.53</v>
      </c>
      <c r="F71">
        <f t="shared" si="2"/>
        <v>4.1100000000000003</v>
      </c>
    </row>
    <row r="72" spans="1:7" x14ac:dyDescent="0.25">
      <c r="A72" t="s">
        <v>1099</v>
      </c>
      <c r="B72" t="s">
        <v>1100</v>
      </c>
      <c r="C72">
        <v>2.29</v>
      </c>
      <c r="D72">
        <v>0.76</v>
      </c>
      <c r="E72">
        <v>0.34</v>
      </c>
      <c r="F72">
        <f t="shared" si="2"/>
        <v>3.3899999999999997</v>
      </c>
    </row>
    <row r="73" spans="1:7" x14ac:dyDescent="0.25">
      <c r="A73" t="s">
        <v>1101</v>
      </c>
      <c r="B73" t="s">
        <v>1102</v>
      </c>
      <c r="C73">
        <v>3.92</v>
      </c>
      <c r="D73">
        <v>0.95</v>
      </c>
      <c r="E73">
        <v>0.34</v>
      </c>
      <c r="F73">
        <f t="shared" si="2"/>
        <v>5.21</v>
      </c>
    </row>
    <row r="74" spans="1:7" x14ac:dyDescent="0.25">
      <c r="A74" t="s">
        <v>1103</v>
      </c>
      <c r="B74" t="s">
        <v>1104</v>
      </c>
      <c r="C74">
        <v>2.89</v>
      </c>
      <c r="D74">
        <v>0.83</v>
      </c>
      <c r="E74">
        <v>0.37</v>
      </c>
      <c r="F74">
        <f t="shared" si="2"/>
        <v>4.09</v>
      </c>
    </row>
    <row r="75" spans="1:7" x14ac:dyDescent="0.25">
      <c r="A75" t="s">
        <v>1423</v>
      </c>
      <c r="B75" t="s">
        <v>1424</v>
      </c>
      <c r="C75">
        <v>0</v>
      </c>
      <c r="D75">
        <v>0</v>
      </c>
      <c r="E75">
        <v>0</v>
      </c>
      <c r="F75">
        <f t="shared" si="2"/>
        <v>0</v>
      </c>
    </row>
    <row r="76" spans="1:7" x14ac:dyDescent="0.25">
      <c r="A76" t="s">
        <v>1425</v>
      </c>
      <c r="B76" t="s">
        <v>1426</v>
      </c>
      <c r="C76">
        <v>0</v>
      </c>
      <c r="D76">
        <v>0</v>
      </c>
      <c r="E76">
        <v>0</v>
      </c>
      <c r="F76">
        <f t="shared" si="2"/>
        <v>0</v>
      </c>
    </row>
    <row r="77" spans="1:7" x14ac:dyDescent="0.25">
      <c r="A77" t="s">
        <v>1552</v>
      </c>
      <c r="B77" t="s">
        <v>1553</v>
      </c>
      <c r="C77">
        <v>0</v>
      </c>
      <c r="D77">
        <v>0</v>
      </c>
      <c r="E77">
        <v>0</v>
      </c>
      <c r="F77">
        <f t="shared" si="2"/>
        <v>0</v>
      </c>
    </row>
    <row r="78" spans="1:7" x14ac:dyDescent="0.25">
      <c r="A78" t="s">
        <v>414</v>
      </c>
      <c r="B78" t="s">
        <v>915</v>
      </c>
      <c r="C78">
        <v>3.19</v>
      </c>
      <c r="D78">
        <v>0.97</v>
      </c>
      <c r="E78">
        <v>0.4</v>
      </c>
      <c r="F78">
        <f t="shared" si="2"/>
        <v>4.5600000000000005</v>
      </c>
    </row>
    <row r="79" spans="1:7" x14ac:dyDescent="0.25">
      <c r="A79" t="s">
        <v>916</v>
      </c>
      <c r="B79" t="s">
        <v>917</v>
      </c>
      <c r="C79">
        <v>0</v>
      </c>
      <c r="D79">
        <v>0</v>
      </c>
      <c r="E79">
        <v>0</v>
      </c>
      <c r="F79">
        <f t="shared" si="2"/>
        <v>0</v>
      </c>
    </row>
    <row r="80" spans="1:7" x14ac:dyDescent="0.25">
      <c r="A80" t="s">
        <v>918</v>
      </c>
      <c r="B80" t="s">
        <v>1563</v>
      </c>
      <c r="C80">
        <v>0</v>
      </c>
      <c r="D80">
        <v>0</v>
      </c>
      <c r="E80">
        <v>0</v>
      </c>
      <c r="F80">
        <f t="shared" si="2"/>
        <v>0</v>
      </c>
    </row>
    <row r="81" spans="1:7" x14ac:dyDescent="0.25">
      <c r="A81" t="s">
        <v>1567</v>
      </c>
      <c r="B81" t="s">
        <v>1568</v>
      </c>
      <c r="C81">
        <v>0</v>
      </c>
      <c r="D81">
        <v>0</v>
      </c>
      <c r="E81">
        <v>0</v>
      </c>
      <c r="F81">
        <f t="shared" si="2"/>
        <v>0</v>
      </c>
    </row>
    <row r="82" spans="1:7" x14ac:dyDescent="0.25">
      <c r="A82" t="s">
        <v>919</v>
      </c>
      <c r="B82" t="s">
        <v>920</v>
      </c>
      <c r="C82">
        <v>0</v>
      </c>
      <c r="D82">
        <v>0</v>
      </c>
      <c r="E82">
        <v>0</v>
      </c>
      <c r="F82">
        <f t="shared" si="2"/>
        <v>0</v>
      </c>
    </row>
    <row r="83" spans="1:7" x14ac:dyDescent="0.25">
      <c r="A83" t="s">
        <v>921</v>
      </c>
      <c r="B83" t="s">
        <v>922</v>
      </c>
      <c r="C83">
        <v>0</v>
      </c>
      <c r="D83">
        <v>0</v>
      </c>
      <c r="E83">
        <v>0</v>
      </c>
      <c r="F83">
        <f t="shared" si="2"/>
        <v>0</v>
      </c>
    </row>
    <row r="84" spans="1:7" x14ac:dyDescent="0.25">
      <c r="A84" t="s">
        <v>923</v>
      </c>
      <c r="B84" t="s">
        <v>924</v>
      </c>
      <c r="C84">
        <v>0</v>
      </c>
      <c r="D84">
        <v>0</v>
      </c>
      <c r="E84">
        <v>0</v>
      </c>
      <c r="F84">
        <f t="shared" si="2"/>
        <v>0</v>
      </c>
    </row>
    <row r="85" spans="1:7" x14ac:dyDescent="0.25">
      <c r="A85" t="s">
        <v>925</v>
      </c>
      <c r="B85" t="s">
        <v>926</v>
      </c>
      <c r="C85">
        <v>0</v>
      </c>
      <c r="D85">
        <v>0</v>
      </c>
      <c r="E85">
        <v>0</v>
      </c>
      <c r="F85">
        <f t="shared" si="2"/>
        <v>0</v>
      </c>
    </row>
    <row r="86" spans="1:7" x14ac:dyDescent="0.25">
      <c r="A86" t="s">
        <v>927</v>
      </c>
      <c r="B86" t="s">
        <v>928</v>
      </c>
      <c r="C86">
        <v>0</v>
      </c>
      <c r="D86">
        <v>0</v>
      </c>
      <c r="E86">
        <v>0</v>
      </c>
      <c r="F86">
        <f t="shared" si="2"/>
        <v>0</v>
      </c>
    </row>
    <row r="87" spans="1:7" x14ac:dyDescent="0.25">
      <c r="A87" t="s">
        <v>929</v>
      </c>
      <c r="B87" t="s">
        <v>930</v>
      </c>
      <c r="C87">
        <v>0</v>
      </c>
      <c r="D87">
        <v>0</v>
      </c>
      <c r="E87">
        <v>0</v>
      </c>
      <c r="F87">
        <f t="shared" si="2"/>
        <v>0</v>
      </c>
    </row>
    <row r="88" spans="1:7" x14ac:dyDescent="0.25">
      <c r="A88" t="s">
        <v>931</v>
      </c>
      <c r="B88" t="s">
        <v>932</v>
      </c>
      <c r="C88">
        <v>0</v>
      </c>
      <c r="D88">
        <v>0</v>
      </c>
      <c r="E88">
        <v>0</v>
      </c>
      <c r="F88">
        <f t="shared" si="2"/>
        <v>0</v>
      </c>
    </row>
    <row r="89" spans="1:7" x14ac:dyDescent="0.25">
      <c r="A89" t="s">
        <v>933</v>
      </c>
      <c r="B89" t="s">
        <v>934</v>
      </c>
      <c r="C89">
        <v>1</v>
      </c>
      <c r="D89">
        <v>0</v>
      </c>
      <c r="E89">
        <v>0</v>
      </c>
      <c r="F89">
        <f t="shared" si="2"/>
        <v>1</v>
      </c>
    </row>
    <row r="90" spans="1:7" x14ac:dyDescent="0.25">
      <c r="A90" t="s">
        <v>935</v>
      </c>
      <c r="B90" t="s">
        <v>936</v>
      </c>
      <c r="C90">
        <v>0</v>
      </c>
      <c r="D90">
        <v>0</v>
      </c>
      <c r="E90">
        <v>0</v>
      </c>
      <c r="F90">
        <f t="shared" si="2"/>
        <v>0</v>
      </c>
    </row>
    <row r="91" spans="1:7" x14ac:dyDescent="0.25">
      <c r="A91" t="s">
        <v>411</v>
      </c>
      <c r="B91" t="s">
        <v>475</v>
      </c>
      <c r="C91">
        <v>2.38</v>
      </c>
      <c r="D91">
        <v>1.87</v>
      </c>
      <c r="E91">
        <v>0.61</v>
      </c>
      <c r="F91">
        <f t="shared" si="2"/>
        <v>4.8600000000000003</v>
      </c>
      <c r="G91" t="s">
        <v>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</vt:lpstr>
      <vt:lpstr>Asset Allocation</vt:lpstr>
      <vt:lpstr>Wages</vt:lpstr>
      <vt:lpstr>Overhead</vt:lpstr>
      <vt:lpstr>Other Overhead</vt:lpstr>
      <vt:lpstr>Sheet1</vt:lpstr>
      <vt:lpstr>Data with Optional</vt:lpstr>
      <vt:lpstr>Syspro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Garth Paris</dc:creator>
  <cp:lastModifiedBy>Mostert, JJ, Mr [27038122@sun.ac.za]</cp:lastModifiedBy>
  <cp:lastPrinted>2019-02-28T09:47:58Z</cp:lastPrinted>
  <dcterms:created xsi:type="dcterms:W3CDTF">2017-10-18T12:44:40Z</dcterms:created>
  <dcterms:modified xsi:type="dcterms:W3CDTF">2026-07-01T10:44:22Z</dcterms:modified>
</cp:coreProperties>
</file>